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bookViews>
    <workbookView xWindow="0" yWindow="0" windowWidth="23040" windowHeight="9252"/>
  </bookViews>
  <sheets>
    <sheet name="Employee_Data" sheetId="1" r:id="rId1"/>
  </sheets>
  <definedNames>
    <definedName name="_xlnm._FilterDatabase" localSheetId="0" hidden="1">Employee_Data!$A$1:$H$201</definedName>
  </definedNames>
  <calcPr calcId="152511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L208" i="1"/>
  <c r="N205" i="1"/>
  <c r="J205" i="1"/>
  <c r="J211" i="1"/>
  <c r="G205" i="1" l="1"/>
  <c r="G217" i="1"/>
  <c r="G215" i="1"/>
  <c r="G213" i="1"/>
  <c r="G211" i="1"/>
  <c r="G209" i="1"/>
  <c r="G207" i="1"/>
</calcChain>
</file>

<file path=xl/sharedStrings.xml><?xml version="1.0" encoding="utf-8"?>
<sst xmlns="http://schemas.openxmlformats.org/spreadsheetml/2006/main" count="1414" uniqueCount="1026">
  <si>
    <t>Employee ID</t>
  </si>
  <si>
    <t>Employee Name</t>
  </si>
  <si>
    <t>Department</t>
  </si>
  <si>
    <t>Email</t>
  </si>
  <si>
    <t>Phone</t>
  </si>
  <si>
    <t>Joining Date</t>
  </si>
  <si>
    <t>Salary(Text)</t>
  </si>
  <si>
    <t>City</t>
  </si>
  <si>
    <t>EMP-1001</t>
  </si>
  <si>
    <t xml:space="preserve">  nikhil yadav   </t>
  </si>
  <si>
    <t>Marketing</t>
  </si>
  <si>
    <t>Nikhil.Yadav@gmail.com</t>
  </si>
  <si>
    <t>9646167601</t>
  </si>
  <si>
    <t>29/07/2022</t>
  </si>
  <si>
    <t>Nagpur</t>
  </si>
  <si>
    <t>EMP-1002</t>
  </si>
  <si>
    <t>Komal      More</t>
  </si>
  <si>
    <t>finance</t>
  </si>
  <si>
    <t>Komal.More@yahoo.com</t>
  </si>
  <si>
    <t>9825706213</t>
  </si>
  <si>
    <t>19/03/2023</t>
  </si>
  <si>
    <t>Mumbai</t>
  </si>
  <si>
    <t>EMP-1003</t>
  </si>
  <si>
    <t>Riya      Rao</t>
  </si>
  <si>
    <t>it</t>
  </si>
  <si>
    <t>RIYA.RAO@ABCTECH.COM</t>
  </si>
  <si>
    <t>9544279503</t>
  </si>
  <si>
    <t>19/10/2025</t>
  </si>
  <si>
    <t>Pune</t>
  </si>
  <si>
    <t>EMP-1004</t>
  </si>
  <si>
    <t>meera   NAIK</t>
  </si>
  <si>
    <t>FINANCE</t>
  </si>
  <si>
    <t>Meera.Naik@Abctech.Com</t>
  </si>
  <si>
    <t>9949339438</t>
  </si>
  <si>
    <t>05/07/2024</t>
  </si>
  <si>
    <t>Aurangabad</t>
  </si>
  <si>
    <t>EMP-1005</t>
  </si>
  <si>
    <t>Neha      More</t>
  </si>
  <si>
    <t>marketing</t>
  </si>
  <si>
    <t>Neha.More@abctech.com</t>
  </si>
  <si>
    <t>9584939031</t>
  </si>
  <si>
    <t>01/10/2021</t>
  </si>
  <si>
    <t>EMP-1006</t>
  </si>
  <si>
    <t>KIRAN KULKARNI</t>
  </si>
  <si>
    <t>ADMIN</t>
  </si>
  <si>
    <t>KIRAN.KULKARNI@ABCTECH.COM</t>
  </si>
  <si>
    <t>9841393236</t>
  </si>
  <si>
    <t>12/02/2022</t>
  </si>
  <si>
    <t>EMP-1007</t>
  </si>
  <si>
    <t>nikhil   SHINDE</t>
  </si>
  <si>
    <t>NIKHIL.SHINDE@COMPANY.IN</t>
  </si>
  <si>
    <t>9779086388</t>
  </si>
  <si>
    <t>26/10/2021</t>
  </si>
  <si>
    <t>EMP-1008</t>
  </si>
  <si>
    <t>Vikas Joshi</t>
  </si>
  <si>
    <t>SALES</t>
  </si>
  <si>
    <t>Vikas.Joshi@abctech.com</t>
  </si>
  <si>
    <t>9374233664</t>
  </si>
  <si>
    <t>13/01/2023</t>
  </si>
  <si>
    <t>EMP-1009</t>
  </si>
  <si>
    <t>Komal Rao</t>
  </si>
  <si>
    <t>OPERATIONS</t>
  </si>
  <si>
    <t>KOMAL.RAO@GMAIL.COM</t>
  </si>
  <si>
    <t>9196205623</t>
  </si>
  <si>
    <t>31/01/2022</t>
  </si>
  <si>
    <t>Solapur</t>
  </si>
  <si>
    <t>EMP-1010</t>
  </si>
  <si>
    <t>Riya      Naik</t>
  </si>
  <si>
    <t>Riya.Naik@Abctech.Com</t>
  </si>
  <si>
    <t>9589041384</t>
  </si>
  <si>
    <t>16/01/2023</t>
  </si>
  <si>
    <t>EMP-1011</t>
  </si>
  <si>
    <t>Riya Joshi</t>
  </si>
  <si>
    <t>Riya.Joshi@Yahoo.Com</t>
  </si>
  <si>
    <t>9261090539</t>
  </si>
  <si>
    <t>01/12/2020</t>
  </si>
  <si>
    <t>EMP-1012</t>
  </si>
  <si>
    <t>vivek   SHARMA</t>
  </si>
  <si>
    <t>Hr</t>
  </si>
  <si>
    <t>Vivek.Sharma@Company.In</t>
  </si>
  <si>
    <t>9930451059</t>
  </si>
  <si>
    <t>14/07/2020</t>
  </si>
  <si>
    <t>Kolhapur</t>
  </si>
  <si>
    <t>EMP-1013</t>
  </si>
  <si>
    <t xml:space="preserve">  neha joshi   </t>
  </si>
  <si>
    <t>Support</t>
  </si>
  <si>
    <t>Neha.Joshi@gmail.com</t>
  </si>
  <si>
    <t>9058656554</t>
  </si>
  <si>
    <t>24/09/2021</t>
  </si>
  <si>
    <t>EMP-1014</t>
  </si>
  <si>
    <t>Rahul      Rao</t>
  </si>
  <si>
    <t>Rahul.Rao@Gmail.Com</t>
  </si>
  <si>
    <t>9889728934</t>
  </si>
  <si>
    <t>13/06/2023</t>
  </si>
  <si>
    <t>EMP-1015</t>
  </si>
  <si>
    <t>KAVITA MORE</t>
  </si>
  <si>
    <t>operations</t>
  </si>
  <si>
    <t>Kavita.More@yahoo.com</t>
  </si>
  <si>
    <t>9072604896</t>
  </si>
  <si>
    <t>07/11/2024</t>
  </si>
  <si>
    <t>Thane</t>
  </si>
  <si>
    <t>EMP-1016</t>
  </si>
  <si>
    <t>AMIT NAIR</t>
  </si>
  <si>
    <t>It</t>
  </si>
  <si>
    <t>AMIT.NAIR@GMAIL.COM</t>
  </si>
  <si>
    <t>9424165776</t>
  </si>
  <si>
    <t>31/05/2021</t>
  </si>
  <si>
    <t>EMP-1017</t>
  </si>
  <si>
    <t>Meera      Naik</t>
  </si>
  <si>
    <t>SUPPORT</t>
  </si>
  <si>
    <t>MEERA.NAIK@ABCTECH.COM</t>
  </si>
  <si>
    <t>9106298249</t>
  </si>
  <si>
    <t>01/03/2020</t>
  </si>
  <si>
    <t>EMP-1018</t>
  </si>
  <si>
    <t>AKASH NAIK</t>
  </si>
  <si>
    <t>AKASH.NAIK@ABCTECH.COM</t>
  </si>
  <si>
    <t>9733505526</t>
  </si>
  <si>
    <t>16/04/2020</t>
  </si>
  <si>
    <t>EMP-1019</t>
  </si>
  <si>
    <t xml:space="preserve">  rohit patil   </t>
  </si>
  <si>
    <t>Operations</t>
  </si>
  <si>
    <t>Rohit.Patil@yahoo.com</t>
  </si>
  <si>
    <t>9596177241</t>
  </si>
  <si>
    <t>20/09/2020</t>
  </si>
  <si>
    <t>EMP-1020</t>
  </si>
  <si>
    <t xml:space="preserve">  komal verma   </t>
  </si>
  <si>
    <t>Komal.Verma@Yahoo.Com</t>
  </si>
  <si>
    <t>9993234762</t>
  </si>
  <si>
    <t>15/07/2025</t>
  </si>
  <si>
    <t>Nashik</t>
  </si>
  <si>
    <t>EMP-1021</t>
  </si>
  <si>
    <t xml:space="preserve">  nikhil gupta   </t>
  </si>
  <si>
    <t>Finance</t>
  </si>
  <si>
    <t>Nikhil.Gupta@Company.In</t>
  </si>
  <si>
    <t>9042790354</t>
  </si>
  <si>
    <t>02/02/2025</t>
  </si>
  <si>
    <t>EMP-1022</t>
  </si>
  <si>
    <t>ankit   SHINDE</t>
  </si>
  <si>
    <t>admin</t>
  </si>
  <si>
    <t>Ankit.Shinde@abctech.com</t>
  </si>
  <si>
    <t>9116174409</t>
  </si>
  <si>
    <t>03/12/2023</t>
  </si>
  <si>
    <t>EMP-1023</t>
  </si>
  <si>
    <t>vikas   NAIR</t>
  </si>
  <si>
    <t>hr</t>
  </si>
  <si>
    <t>Vikas.Nair@Abctech.Com</t>
  </si>
  <si>
    <t>9999031614</t>
  </si>
  <si>
    <t>27/04/2023</t>
  </si>
  <si>
    <t>EMP-1024</t>
  </si>
  <si>
    <t>Sneha      Nair</t>
  </si>
  <si>
    <t>SNEHA.NAIR@YAHOO.COM</t>
  </si>
  <si>
    <t>9432885715</t>
  </si>
  <si>
    <t>15/04/2024</t>
  </si>
  <si>
    <t>EMP-1025</t>
  </si>
  <si>
    <t xml:space="preserve">  akash chavan   </t>
  </si>
  <si>
    <t>AKASH.CHAVAN@GMAIL.COM</t>
  </si>
  <si>
    <t>9033684784</t>
  </si>
  <si>
    <t>13/08/2024</t>
  </si>
  <si>
    <t>EMP-1026</t>
  </si>
  <si>
    <t>rohit   JOSHI</t>
  </si>
  <si>
    <t>HR</t>
  </si>
  <si>
    <t>Rohit.Joshi@abctech.com</t>
  </si>
  <si>
    <t>9366227185</t>
  </si>
  <si>
    <t>02/01/2021</t>
  </si>
  <si>
    <t>EMP-1027</t>
  </si>
  <si>
    <t>Ankit Sharma</t>
  </si>
  <si>
    <t>Ankit.Sharma@abctech.com</t>
  </si>
  <si>
    <t>9014106868</t>
  </si>
  <si>
    <t>26/02/2025</t>
  </si>
  <si>
    <t>EMP-1028</t>
  </si>
  <si>
    <t xml:space="preserve">  pooja rao   </t>
  </si>
  <si>
    <t>Sales</t>
  </si>
  <si>
    <t>POOJA.RAO@COMPANY.IN</t>
  </si>
  <si>
    <t>9097688289</t>
  </si>
  <si>
    <t>21/11/2021</t>
  </si>
  <si>
    <t>EMP-1029</t>
  </si>
  <si>
    <t>NEHA PAWAR</t>
  </si>
  <si>
    <t>Neha.Pawar@gmail.com</t>
  </si>
  <si>
    <t>9447428656</t>
  </si>
  <si>
    <t>16/06/2022</t>
  </si>
  <si>
    <t>EMP-1030</t>
  </si>
  <si>
    <t>kavita   PATIL</t>
  </si>
  <si>
    <t>Kavita.Patil@gmail.com</t>
  </si>
  <si>
    <t>9607455329</t>
  </si>
  <si>
    <t>29/03/2025</t>
  </si>
  <si>
    <t>EMP-1031</t>
  </si>
  <si>
    <t>Rohit      Gupta</t>
  </si>
  <si>
    <t>ROHIT.GUPTA@COMPANY.IN</t>
  </si>
  <si>
    <t>9470107789</t>
  </si>
  <si>
    <t>16/09/2023</t>
  </si>
  <si>
    <t>EMP-1032</t>
  </si>
  <si>
    <t>Ajay Singh</t>
  </si>
  <si>
    <t>IT</t>
  </si>
  <si>
    <t>Ajay.Singh@yahoo.com</t>
  </si>
  <si>
    <t>9866801442</t>
  </si>
  <si>
    <t>23/03/2020</t>
  </si>
  <si>
    <t>EMP-1033</t>
  </si>
  <si>
    <t>Kavita More</t>
  </si>
  <si>
    <t>Kavita.More@abctech.com</t>
  </si>
  <si>
    <t>9441986252</t>
  </si>
  <si>
    <t>02/03/2024</t>
  </si>
  <si>
    <t>EMP-1034</t>
  </si>
  <si>
    <t>Komal Nair</t>
  </si>
  <si>
    <t>Komal.Nair@abctech.com</t>
  </si>
  <si>
    <t>9983824695</t>
  </si>
  <si>
    <t>10/08/2023</t>
  </si>
  <si>
    <t>EMP-1035</t>
  </si>
  <si>
    <t xml:space="preserve">  kavita nair   </t>
  </si>
  <si>
    <t>Kavita.Nair@Abctech.Com</t>
  </si>
  <si>
    <t>9658136871</t>
  </si>
  <si>
    <t>13/03/2022</t>
  </si>
  <si>
    <t>EMP-1036</t>
  </si>
  <si>
    <t>priya   RAO</t>
  </si>
  <si>
    <t>Priya.Rao@company.in</t>
  </si>
  <si>
    <t>9199035111</t>
  </si>
  <si>
    <t>14/12/2025</t>
  </si>
  <si>
    <t>EMP-1037</t>
  </si>
  <si>
    <t>RAHUL RAO</t>
  </si>
  <si>
    <t>9159775049</t>
  </si>
  <si>
    <t>05/11/2023</t>
  </si>
  <si>
    <t>EMP-1038</t>
  </si>
  <si>
    <t>Nikhil      More</t>
  </si>
  <si>
    <t>sales</t>
  </si>
  <si>
    <t>Nikhil.More@company.in</t>
  </si>
  <si>
    <t>9770243139</t>
  </si>
  <si>
    <t>20/07/2021</t>
  </si>
  <si>
    <t>EMP-1039</t>
  </si>
  <si>
    <t>kiran   JOSHI</t>
  </si>
  <si>
    <t>KIRAN.JOSHI@YAHOO.COM</t>
  </si>
  <si>
    <t>9138245133</t>
  </si>
  <si>
    <t>10/09/2022</t>
  </si>
  <si>
    <t>EMP-1040</t>
  </si>
  <si>
    <t>kiran   PATEL</t>
  </si>
  <si>
    <t>KIRAN.PATEL@YAHOO.COM</t>
  </si>
  <si>
    <t>9100053359</t>
  </si>
  <si>
    <t>25/11/2022</t>
  </si>
  <si>
    <t>EMP-1041</t>
  </si>
  <si>
    <t>Rahul Sharma</t>
  </si>
  <si>
    <t>Rahul.Sharma@company.in</t>
  </si>
  <si>
    <t>9040698511</t>
  </si>
  <si>
    <t>04/08/2022</t>
  </si>
  <si>
    <t>EMP-1042</t>
  </si>
  <si>
    <t>Kavita      Chavan</t>
  </si>
  <si>
    <t>Kavita.Chavan@company.in</t>
  </si>
  <si>
    <t>9089004625</t>
  </si>
  <si>
    <t>05/06/2021</t>
  </si>
  <si>
    <t>EMP-1043</t>
  </si>
  <si>
    <t>Rohit Yadav</t>
  </si>
  <si>
    <t>Rohit.Yadav@Yahoo.Com</t>
  </si>
  <si>
    <t>9864524704</t>
  </si>
  <si>
    <t>20/11/2020</t>
  </si>
  <si>
    <t>EMP-1044</t>
  </si>
  <si>
    <t>AMIT GUPTA</t>
  </si>
  <si>
    <t>Amit.Gupta@yahoo.com</t>
  </si>
  <si>
    <t>9408719362</t>
  </si>
  <si>
    <t>29/12/2022</t>
  </si>
  <si>
    <t>EMP-1045</t>
  </si>
  <si>
    <t xml:space="preserve">  amit chavan   </t>
  </si>
  <si>
    <t>AMIT.CHAVAN@YAHOO.COM</t>
  </si>
  <si>
    <t>9976205406</t>
  </si>
  <si>
    <t>08/11/2022</t>
  </si>
  <si>
    <t>EMP-1046</t>
  </si>
  <si>
    <t>Komal Naik</t>
  </si>
  <si>
    <t>Komal.Naik@Abctech.Com</t>
  </si>
  <si>
    <t>9573516392</t>
  </si>
  <si>
    <t>21/03/2020</t>
  </si>
  <si>
    <t>EMP-1047</t>
  </si>
  <si>
    <t>Akash Jadhav</t>
  </si>
  <si>
    <t>Akash.Jadhav@Company.In</t>
  </si>
  <si>
    <t>9088249977</t>
  </si>
  <si>
    <t>07/05/2024</t>
  </si>
  <si>
    <t>EMP-1048</t>
  </si>
  <si>
    <t>Komal Patil</t>
  </si>
  <si>
    <t>KOMAL.PATIL@ABCTECH.COM</t>
  </si>
  <si>
    <t>9594500453</t>
  </si>
  <si>
    <t>22/05/2025</t>
  </si>
  <si>
    <t>EMP-1049</t>
  </si>
  <si>
    <t>Akash Joshi</t>
  </si>
  <si>
    <t>AKASH.JOSHI@YAHOO.COM</t>
  </si>
  <si>
    <t>9540876711</t>
  </si>
  <si>
    <t>07/02/2024</t>
  </si>
  <si>
    <t>EMP-1050</t>
  </si>
  <si>
    <t xml:space="preserve">  vivek yadav   </t>
  </si>
  <si>
    <t>Vivek.Yadav@Abctech.Com</t>
  </si>
  <si>
    <t>9799825592</t>
  </si>
  <si>
    <t>19/06/2024</t>
  </si>
  <si>
    <t>EMP-1051</t>
  </si>
  <si>
    <t>vivek   MORE</t>
  </si>
  <si>
    <t>MARKETING</t>
  </si>
  <si>
    <t>VIVEK.MORE@YAHOO.COM</t>
  </si>
  <si>
    <t>9186163629</t>
  </si>
  <si>
    <t>15/11/2025</t>
  </si>
  <si>
    <t>EMP-1052</t>
  </si>
  <si>
    <t>KAVITA YADAV</t>
  </si>
  <si>
    <t>Kavita.Yadav@Company.In</t>
  </si>
  <si>
    <t>9437682451</t>
  </si>
  <si>
    <t>10/02/2024</t>
  </si>
  <si>
    <t>EMP-1053</t>
  </si>
  <si>
    <t>rohit   NAIR</t>
  </si>
  <si>
    <t>ROHIT.NAIR@ABCTECH.COM</t>
  </si>
  <si>
    <t>9746481098</t>
  </si>
  <si>
    <t>12/10/2022</t>
  </si>
  <si>
    <t>EMP-1054</t>
  </si>
  <si>
    <t>RAHUL.RAO@GMAIL.COM</t>
  </si>
  <si>
    <t>9117293996</t>
  </si>
  <si>
    <t>04/04/2020</t>
  </si>
  <si>
    <t>EMP-1055</t>
  </si>
  <si>
    <t>Vikas Verma</t>
  </si>
  <si>
    <t>Vikas.Verma@Company.In</t>
  </si>
  <si>
    <t>9174275423</t>
  </si>
  <si>
    <t>12/03/2025</t>
  </si>
  <si>
    <t>EMP-1056</t>
  </si>
  <si>
    <t>Amit      Joshi</t>
  </si>
  <si>
    <t>AMIT.JOSHI@ABCTECH.COM</t>
  </si>
  <si>
    <t>9742883651</t>
  </si>
  <si>
    <t>29/11/2023</t>
  </si>
  <si>
    <t>EMP-1057</t>
  </si>
  <si>
    <t>Rahul      Verma</t>
  </si>
  <si>
    <t>support</t>
  </si>
  <si>
    <t>Rahul.Verma@abctech.com</t>
  </si>
  <si>
    <t>9550616310</t>
  </si>
  <si>
    <t>15/12/2023</t>
  </si>
  <si>
    <t>EMP-1058</t>
  </si>
  <si>
    <t>Rohit Pawar</t>
  </si>
  <si>
    <t>Rohit.Pawar@Company.In</t>
  </si>
  <si>
    <t>9612327886</t>
  </si>
  <si>
    <t>15/02/2023</t>
  </si>
  <si>
    <t>EMP-1059</t>
  </si>
  <si>
    <t>Neha      Shinde</t>
  </si>
  <si>
    <t>NEHA.SHINDE@COMPANY.IN</t>
  </si>
  <si>
    <t>9936836753</t>
  </si>
  <si>
    <t>26/06/2022</t>
  </si>
  <si>
    <t>EMP-1060</t>
  </si>
  <si>
    <t>Riya      Yadav</t>
  </si>
  <si>
    <t>RIYA.YADAV@YAHOO.COM</t>
  </si>
  <si>
    <t>9196086371</t>
  </si>
  <si>
    <t>05/10/2024</t>
  </si>
  <si>
    <t>EMP-1061</t>
  </si>
  <si>
    <t xml:space="preserve">  komal gupta   </t>
  </si>
  <si>
    <t>Komal.Gupta@company.in</t>
  </si>
  <si>
    <t>9072746526</t>
  </si>
  <si>
    <t>27/12/2023</t>
  </si>
  <si>
    <t>EMP-1062</t>
  </si>
  <si>
    <t xml:space="preserve">  kavita patel   </t>
  </si>
  <si>
    <t>KAVITA.PATEL@ABCTECH.COM</t>
  </si>
  <si>
    <t>9921036496</t>
  </si>
  <si>
    <t>07/12/2020</t>
  </si>
  <si>
    <t>EMP-1063</t>
  </si>
  <si>
    <t>Riya Shinde</t>
  </si>
  <si>
    <t>RIYA.SHINDE@GMAIL.COM</t>
  </si>
  <si>
    <t>9230624102</t>
  </si>
  <si>
    <t>12/08/2025</t>
  </si>
  <si>
    <t>EMP-1064</t>
  </si>
  <si>
    <t>SAURABH JOSHI</t>
  </si>
  <si>
    <t>Saurabh.Joshi@abctech.com</t>
  </si>
  <si>
    <t>9699700827</t>
  </si>
  <si>
    <t>18/04/2021</t>
  </si>
  <si>
    <t>EMP-1065</t>
  </si>
  <si>
    <t>9790879170</t>
  </si>
  <si>
    <t>11/07/2022</t>
  </si>
  <si>
    <t>EMP-1066</t>
  </si>
  <si>
    <t>Riya Chavan</t>
  </si>
  <si>
    <t>Admin</t>
  </si>
  <si>
    <t>Riya.Chavan@Company.In</t>
  </si>
  <si>
    <t>9278694419</t>
  </si>
  <si>
    <t>12/01/2020</t>
  </si>
  <si>
    <t>EMP-1067</t>
  </si>
  <si>
    <t xml:space="preserve">  kiran mishra   </t>
  </si>
  <si>
    <t>KIRAN.MISHRA@GMAIL.COM</t>
  </si>
  <si>
    <t>9174898463</t>
  </si>
  <si>
    <t>29/06/2024</t>
  </si>
  <si>
    <t>EMP-1068</t>
  </si>
  <si>
    <t>Rohit      Naik</t>
  </si>
  <si>
    <t>Rohit.Naik@yahoo.com</t>
  </si>
  <si>
    <t>9643203264</t>
  </si>
  <si>
    <t>23/10/2022</t>
  </si>
  <si>
    <t>EMP-1069</t>
  </si>
  <si>
    <t>SAURABH NAIK</t>
  </si>
  <si>
    <t>SAURABH.NAIK@COMPANY.IN</t>
  </si>
  <si>
    <t>9653710162</t>
  </si>
  <si>
    <t>26/01/2022</t>
  </si>
  <si>
    <t>EMP-1070</t>
  </si>
  <si>
    <t>ROHIT MISHRA</t>
  </si>
  <si>
    <t>Rohit.Mishra@abctech.com</t>
  </si>
  <si>
    <t>9026076803</t>
  </si>
  <si>
    <t>11/10/2024</t>
  </si>
  <si>
    <t>EMP-1071</t>
  </si>
  <si>
    <t>pooja   SHARMA</t>
  </si>
  <si>
    <t>POOJA.SHARMA@COMPANY.IN</t>
  </si>
  <si>
    <t>9122690066</t>
  </si>
  <si>
    <t>18/01/2020</t>
  </si>
  <si>
    <t>EMP-1072</t>
  </si>
  <si>
    <t xml:space="preserve">  nikhil patel   </t>
  </si>
  <si>
    <t>Nikhil.Patel@gmail.com</t>
  </si>
  <si>
    <t>9429915149</t>
  </si>
  <si>
    <t>08/06/2022</t>
  </si>
  <si>
    <t>EMP-1073</t>
  </si>
  <si>
    <t>Komal Pawar</t>
  </si>
  <si>
    <t>KOMAL.PAWAR@GMAIL.COM</t>
  </si>
  <si>
    <t>9750020419</t>
  </si>
  <si>
    <t>13/06/2025</t>
  </si>
  <si>
    <t>EMP-1074</t>
  </si>
  <si>
    <t>Amit      More</t>
  </si>
  <si>
    <t>AMIT.MORE@COMPANY.IN</t>
  </si>
  <si>
    <t>9494298359</t>
  </si>
  <si>
    <t>10/06/2025</t>
  </si>
  <si>
    <t>EMP-1075</t>
  </si>
  <si>
    <t>Kiran      Mishra</t>
  </si>
  <si>
    <t>Kiran.Mishra@Yahoo.Com</t>
  </si>
  <si>
    <t>9892448053</t>
  </si>
  <si>
    <t>22/09/2021</t>
  </si>
  <si>
    <t>EMP-1076</t>
  </si>
  <si>
    <t>Sneha      Patil</t>
  </si>
  <si>
    <t>SNEHA.PATIL@YAHOO.COM</t>
  </si>
  <si>
    <t>9861944502</t>
  </si>
  <si>
    <t>08/10/2024</t>
  </si>
  <si>
    <t>EMP-1077</t>
  </si>
  <si>
    <t xml:space="preserve">  nikhil joshi   </t>
  </si>
  <si>
    <t>Nikhil.Joshi@Yahoo.Com</t>
  </si>
  <si>
    <t>9673447424</t>
  </si>
  <si>
    <t>14/11/2021</t>
  </si>
  <si>
    <t>EMP-1078</t>
  </si>
  <si>
    <t>VIKAS MISHRA</t>
  </si>
  <si>
    <t>VIKAS.MISHRA@YAHOO.COM</t>
  </si>
  <si>
    <t>9654919717</t>
  </si>
  <si>
    <t>12/02/2021</t>
  </si>
  <si>
    <t>EMP-1079</t>
  </si>
  <si>
    <t>nikhil   PATEL</t>
  </si>
  <si>
    <t>Nikhil.Patel@Abctech.Com</t>
  </si>
  <si>
    <t>9575499234</t>
  </si>
  <si>
    <t>04/04/2023</t>
  </si>
  <si>
    <t>EMP-1080</t>
  </si>
  <si>
    <t xml:space="preserve">  komal patel   </t>
  </si>
  <si>
    <t>Komal.Patel@gmail.com</t>
  </si>
  <si>
    <t>9524838307</t>
  </si>
  <si>
    <t>29/09/2020</t>
  </si>
  <si>
    <t>EMP-1081</t>
  </si>
  <si>
    <t>Komal      Rao</t>
  </si>
  <si>
    <t>Komal.Rao@Yahoo.Com</t>
  </si>
  <si>
    <t>9623362865</t>
  </si>
  <si>
    <t>02/08/2023</t>
  </si>
  <si>
    <t>EMP-1082</t>
  </si>
  <si>
    <t>Neha Kadam</t>
  </si>
  <si>
    <t>Neha.Kadam@yahoo.com</t>
  </si>
  <si>
    <t>9591830375</t>
  </si>
  <si>
    <t>19/10/2023</t>
  </si>
  <si>
    <t>EMP-1083</t>
  </si>
  <si>
    <t>AMIT KULKARNI</t>
  </si>
  <si>
    <t>Amit.Kulkarni@gmail.com</t>
  </si>
  <si>
    <t>9957221440</t>
  </si>
  <si>
    <t>09/06/2020</t>
  </si>
  <si>
    <t>EMP-1084</t>
  </si>
  <si>
    <t xml:space="preserve">  ankit singh   </t>
  </si>
  <si>
    <t>Ankit.Singh@yahoo.com</t>
  </si>
  <si>
    <t>9210338743</t>
  </si>
  <si>
    <t>22/03/2021</t>
  </si>
  <si>
    <t>EMP-1085</t>
  </si>
  <si>
    <t>anjali   JOSHI</t>
  </si>
  <si>
    <t>Anjali.Joshi@company.in</t>
  </si>
  <si>
    <t>9726881523</t>
  </si>
  <si>
    <t>10/08/2022</t>
  </si>
  <si>
    <t>EMP-1086</t>
  </si>
  <si>
    <t>Priya      Kulkarni</t>
  </si>
  <si>
    <t>Priya.Kulkarni@gmail.com</t>
  </si>
  <si>
    <t>9240282722</t>
  </si>
  <si>
    <t>08/07/2023</t>
  </si>
  <si>
    <t>EMP-1087</t>
  </si>
  <si>
    <t>Ankit      Verma</t>
  </si>
  <si>
    <t>Ankit.Verma@yahoo.com</t>
  </si>
  <si>
    <t>9251507806</t>
  </si>
  <si>
    <t>22/10/2021</t>
  </si>
  <si>
    <t>EMP-1088</t>
  </si>
  <si>
    <t xml:space="preserve">  vikas sharma   </t>
  </si>
  <si>
    <t>Vikas.Sharma@company.in</t>
  </si>
  <si>
    <t>9788853161</t>
  </si>
  <si>
    <t>16/02/2020</t>
  </si>
  <si>
    <t>EMP-1089</t>
  </si>
  <si>
    <t>pooja   GUPTA</t>
  </si>
  <si>
    <t>Pooja.Gupta@Yahoo.Com</t>
  </si>
  <si>
    <t>9897990401</t>
  </si>
  <si>
    <t>19/03/2021</t>
  </si>
  <si>
    <t>EMP-1090</t>
  </si>
  <si>
    <t>Vivek Verma</t>
  </si>
  <si>
    <t>Vivek.Verma@Company.In</t>
  </si>
  <si>
    <t>9796077666</t>
  </si>
  <si>
    <t>25/01/2023</t>
  </si>
  <si>
    <t>EMP-1091</t>
  </si>
  <si>
    <t xml:space="preserve">  ajay jadhav   </t>
  </si>
  <si>
    <t>Ajay.Jadhav@yahoo.com</t>
  </si>
  <si>
    <t>9567903996</t>
  </si>
  <si>
    <t>22/12/2022</t>
  </si>
  <si>
    <t>EMP-1092</t>
  </si>
  <si>
    <t>VIKAS NAIR</t>
  </si>
  <si>
    <t>Vikas.Nair@gmail.com</t>
  </si>
  <si>
    <t>9722453561</t>
  </si>
  <si>
    <t>02/04/2024</t>
  </si>
  <si>
    <t>EMP-1093</t>
  </si>
  <si>
    <t>Nikhil      Patel</t>
  </si>
  <si>
    <t>9586089298</t>
  </si>
  <si>
    <t>29/08/2022</t>
  </si>
  <si>
    <t>EMP-1094</t>
  </si>
  <si>
    <t>riya   NAIR</t>
  </si>
  <si>
    <t>Riya.Nair@abctech.com</t>
  </si>
  <si>
    <t>9036830549</t>
  </si>
  <si>
    <t>30/07/2022</t>
  </si>
  <si>
    <t>EMP-1095</t>
  </si>
  <si>
    <t>Saurabh      Sharma</t>
  </si>
  <si>
    <t>SAURABH.SHARMA@COMPANY.IN</t>
  </si>
  <si>
    <t>9415288185</t>
  </si>
  <si>
    <t>10/11/2023</t>
  </si>
  <si>
    <t>EMP-1096</t>
  </si>
  <si>
    <t xml:space="preserve">  rahul mishra   </t>
  </si>
  <si>
    <t>RAHUL.MISHRA@ABCTECH.COM</t>
  </si>
  <si>
    <t>9232476727</t>
  </si>
  <si>
    <t>26/01/2024</t>
  </si>
  <si>
    <t>EMP-1097</t>
  </si>
  <si>
    <t>MEERA MISHRA</t>
  </si>
  <si>
    <t>MEERA.MISHRA@YAHOO.COM</t>
  </si>
  <si>
    <t>9422561824</t>
  </si>
  <si>
    <t>15/09/2020</t>
  </si>
  <si>
    <t>EMP-1098</t>
  </si>
  <si>
    <t>RIYA CHAVAN</t>
  </si>
  <si>
    <t>Riya.Chavan@abctech.com</t>
  </si>
  <si>
    <t>9806006545</t>
  </si>
  <si>
    <t>04/05/2021</t>
  </si>
  <si>
    <t>EMP-1099</t>
  </si>
  <si>
    <t>Amit      Patil</t>
  </si>
  <si>
    <t>Amit.Patil@Gmail.Com</t>
  </si>
  <si>
    <t>9675205650</t>
  </si>
  <si>
    <t>27/12/2021</t>
  </si>
  <si>
    <t>EMP-1100</t>
  </si>
  <si>
    <t>RIYA SHARMA</t>
  </si>
  <si>
    <t>Riya.Sharma@Yahoo.Com</t>
  </si>
  <si>
    <t>9707878010</t>
  </si>
  <si>
    <t>18/05/2021</t>
  </si>
  <si>
    <t>EMP-1101</t>
  </si>
  <si>
    <t>VIKAS GUPTA</t>
  </si>
  <si>
    <t>VIKAS.GUPTA@GMAIL.COM</t>
  </si>
  <si>
    <t>9204466171</t>
  </si>
  <si>
    <t>14/04/2025</t>
  </si>
  <si>
    <t>EMP-1102</t>
  </si>
  <si>
    <t>ANJALI JADHAV</t>
  </si>
  <si>
    <t>ANJALI.JADHAV@COMPANY.IN</t>
  </si>
  <si>
    <t>9860221406</t>
  </si>
  <si>
    <t>17/05/2024</t>
  </si>
  <si>
    <t>EMP-1103</t>
  </si>
  <si>
    <t>Priya Rao</t>
  </si>
  <si>
    <t>PRIYA.RAO@GMAIL.COM</t>
  </si>
  <si>
    <t>9226640957</t>
  </si>
  <si>
    <t>21/02/2020</t>
  </si>
  <si>
    <t>EMP-1104</t>
  </si>
  <si>
    <t>Rahul      Shinde</t>
  </si>
  <si>
    <t>RAHUL.SHINDE@COMPANY.IN</t>
  </si>
  <si>
    <t>9330402978</t>
  </si>
  <si>
    <t>20/10/2025</t>
  </si>
  <si>
    <t>EMP-1105</t>
  </si>
  <si>
    <t xml:space="preserve">  ankit rao   </t>
  </si>
  <si>
    <t>Ankit.Rao@yahoo.com</t>
  </si>
  <si>
    <t>9635018526</t>
  </si>
  <si>
    <t>02/07/2020</t>
  </si>
  <si>
    <t>EMP-1106</t>
  </si>
  <si>
    <t>VIKAS MORE</t>
  </si>
  <si>
    <t>Vikas.More@Gmail.Com</t>
  </si>
  <si>
    <t>9766075372</t>
  </si>
  <si>
    <t>24/02/2025</t>
  </si>
  <si>
    <t>EMP-1107</t>
  </si>
  <si>
    <t xml:space="preserve">  pooja sharma   </t>
  </si>
  <si>
    <t>Pooja.Sharma@Yahoo.Com</t>
  </si>
  <si>
    <t>9230125578</t>
  </si>
  <si>
    <t>16/05/2023</t>
  </si>
  <si>
    <t>EMP-1108</t>
  </si>
  <si>
    <t>RIYA JADHAV</t>
  </si>
  <si>
    <t>Riya.Jadhav@Company.In</t>
  </si>
  <si>
    <t>9763498597</t>
  </si>
  <si>
    <t>05/03/2025</t>
  </si>
  <si>
    <t>EMP-1109</t>
  </si>
  <si>
    <t>anjali   GUPTA</t>
  </si>
  <si>
    <t>Anjali.Gupta@Yahoo.Com</t>
  </si>
  <si>
    <t>9365180431</t>
  </si>
  <si>
    <t>27/08/2020</t>
  </si>
  <si>
    <t>EMP-1110</t>
  </si>
  <si>
    <t>Amit      Yadav</t>
  </si>
  <si>
    <t>Amit.Yadav@Yahoo.Com</t>
  </si>
  <si>
    <t>9481673927</t>
  </si>
  <si>
    <t>17/05/2022</t>
  </si>
  <si>
    <t>EMP-1111</t>
  </si>
  <si>
    <t>Ankit Chavan</t>
  </si>
  <si>
    <t>ANKIT.CHAVAN@YAHOO.COM</t>
  </si>
  <si>
    <t>9558324034</t>
  </si>
  <si>
    <t>23/07/2020</t>
  </si>
  <si>
    <t>EMP-1112</t>
  </si>
  <si>
    <t xml:space="preserve">  neha sharma   </t>
  </si>
  <si>
    <t>Neha.Sharma@yahoo.com</t>
  </si>
  <si>
    <t>9526319933</t>
  </si>
  <si>
    <t>19/10/2021</t>
  </si>
  <si>
    <t>EMP-1113</t>
  </si>
  <si>
    <t xml:space="preserve">  riya patel   </t>
  </si>
  <si>
    <t>Riya.Patel@Company.In</t>
  </si>
  <si>
    <t>9770473222</t>
  </si>
  <si>
    <t>22/08/2021</t>
  </si>
  <si>
    <t>EMP-1114</t>
  </si>
  <si>
    <t>Nikhil Singh</t>
  </si>
  <si>
    <t>Nikhil.Singh@Gmail.Com</t>
  </si>
  <si>
    <t>9693210812</t>
  </si>
  <si>
    <t>17/03/2023</t>
  </si>
  <si>
    <t>EMP-1115</t>
  </si>
  <si>
    <t xml:space="preserve">  kavita kadam   </t>
  </si>
  <si>
    <t>KAVITA.KADAM@COMPANY.IN</t>
  </si>
  <si>
    <t>9877372858</t>
  </si>
  <si>
    <t>12/02/2025</t>
  </si>
  <si>
    <t>EMP-1116</t>
  </si>
  <si>
    <t>Pooja      Verma</t>
  </si>
  <si>
    <t>Pooja.Verma@company.in</t>
  </si>
  <si>
    <t>9619007775</t>
  </si>
  <si>
    <t>08/10/2025</t>
  </si>
  <si>
    <t>EMP-1117</t>
  </si>
  <si>
    <t>Neha      Chavan</t>
  </si>
  <si>
    <t>Neha.Chavan@company.in</t>
  </si>
  <si>
    <t>9435321057</t>
  </si>
  <si>
    <t>19/01/2025</t>
  </si>
  <si>
    <t>EMP-1118</t>
  </si>
  <si>
    <t xml:space="preserve">  priya nair   </t>
  </si>
  <si>
    <t>PRIYA.NAIR@YAHOO.COM</t>
  </si>
  <si>
    <t>9519462850</t>
  </si>
  <si>
    <t>17/10/2021</t>
  </si>
  <si>
    <t>EMP-1119</t>
  </si>
  <si>
    <t>saurabh   MORE</t>
  </si>
  <si>
    <t>Saurabh.More@gmail.com</t>
  </si>
  <si>
    <t>9623802474</t>
  </si>
  <si>
    <t>19/01/2020</t>
  </si>
  <si>
    <t>EMP-1120</t>
  </si>
  <si>
    <t>Kiran      Gupta</t>
  </si>
  <si>
    <t>KIRAN.GUPTA@COMPANY.IN</t>
  </si>
  <si>
    <t>9743516642</t>
  </si>
  <si>
    <t>25/07/2022</t>
  </si>
  <si>
    <t>EMP-1121</t>
  </si>
  <si>
    <t>Vivek      Gupta</t>
  </si>
  <si>
    <t>VIVEK.GUPTA@YAHOO.COM</t>
  </si>
  <si>
    <t>9886631258</t>
  </si>
  <si>
    <t>21/11/2020</t>
  </si>
  <si>
    <t>EMP-1122</t>
  </si>
  <si>
    <t>KOMAL DESHMUKH</t>
  </si>
  <si>
    <t>Komal.Deshmukh@Company.In</t>
  </si>
  <si>
    <t>9809149316</t>
  </si>
  <si>
    <t>18/02/2021</t>
  </si>
  <si>
    <t>EMP-1123</t>
  </si>
  <si>
    <t xml:space="preserve">  rahul nair   </t>
  </si>
  <si>
    <t>Rahul.Nair@Abctech.Com</t>
  </si>
  <si>
    <t>9561312814</t>
  </si>
  <si>
    <t>28/06/2020</t>
  </si>
  <si>
    <t>EMP-1124</t>
  </si>
  <si>
    <t>Kavita.Kadam@Yahoo.Com</t>
  </si>
  <si>
    <t>9097214384</t>
  </si>
  <si>
    <t>13/02/2025</t>
  </si>
  <si>
    <t>EMP-1125</t>
  </si>
  <si>
    <t>rahul   NAIK</t>
  </si>
  <si>
    <t>RAHUL.NAIK@YAHOO.COM</t>
  </si>
  <si>
    <t>9112906537</t>
  </si>
  <si>
    <t>09/11/2025</t>
  </si>
  <si>
    <t>EMP-1126</t>
  </si>
  <si>
    <t xml:space="preserve">  akash more   </t>
  </si>
  <si>
    <t>Akash.More@yahoo.com</t>
  </si>
  <si>
    <t>9056293109</t>
  </si>
  <si>
    <t>13/11/2024</t>
  </si>
  <si>
    <t>EMP-1127</t>
  </si>
  <si>
    <t>ANKIT.SHARMA@YAHOO.COM</t>
  </si>
  <si>
    <t>9766740613</t>
  </si>
  <si>
    <t>27/01/2021</t>
  </si>
  <si>
    <t>EMP-1128</t>
  </si>
  <si>
    <t>Kavita      Kadam</t>
  </si>
  <si>
    <t>Kavita.Kadam@yahoo.com</t>
  </si>
  <si>
    <t>9211984459</t>
  </si>
  <si>
    <t>31/07/2022</t>
  </si>
  <si>
    <t>EMP-1129</t>
  </si>
  <si>
    <t>AJAY MORE</t>
  </si>
  <si>
    <t>Ajay.More@Company.In</t>
  </si>
  <si>
    <t>9671491590</t>
  </si>
  <si>
    <t>26/12/2023</t>
  </si>
  <si>
    <t>EMP-1130</t>
  </si>
  <si>
    <t xml:space="preserve">  vivek patel   </t>
  </si>
  <si>
    <t>Vivek.Patel@yahoo.com</t>
  </si>
  <si>
    <t>9872686893</t>
  </si>
  <si>
    <t>02/03/2022</t>
  </si>
  <si>
    <t>EMP-1131</t>
  </si>
  <si>
    <t>amit   NAIK</t>
  </si>
  <si>
    <t>Amit.Naik@Company.In</t>
  </si>
  <si>
    <t>9904726980</t>
  </si>
  <si>
    <t>27/04/2025</t>
  </si>
  <si>
    <t>EMP-1132</t>
  </si>
  <si>
    <t xml:space="preserve">  neha shinde   </t>
  </si>
  <si>
    <t>NEHA.SHINDE@ABCTECH.COM</t>
  </si>
  <si>
    <t>9430645591</t>
  </si>
  <si>
    <t>14/02/2021</t>
  </si>
  <si>
    <t>EMP-1133</t>
  </si>
  <si>
    <t xml:space="preserve">  sneha gupta   </t>
  </si>
  <si>
    <t>Sneha.Gupta@Company.In</t>
  </si>
  <si>
    <t>9500375520</t>
  </si>
  <si>
    <t>EMP-1134</t>
  </si>
  <si>
    <t>VIKAS SHARMA</t>
  </si>
  <si>
    <t>Vikas.Sharma@Yahoo.Com</t>
  </si>
  <si>
    <t>9164125115</t>
  </si>
  <si>
    <t>19/08/2020</t>
  </si>
  <si>
    <t>EMP-1135</t>
  </si>
  <si>
    <t>nikhil   YADAV</t>
  </si>
  <si>
    <t>NIKHIL.YADAV@COMPANY.IN</t>
  </si>
  <si>
    <t>9496666556</t>
  </si>
  <si>
    <t>10/03/2020</t>
  </si>
  <si>
    <t>EMP-1136</t>
  </si>
  <si>
    <t xml:space="preserve">  riya shinde   </t>
  </si>
  <si>
    <t>RIYA.SHINDE@COMPANY.IN</t>
  </si>
  <si>
    <t>9344344014</t>
  </si>
  <si>
    <t>26/11/2021</t>
  </si>
  <si>
    <t>EMP-1137</t>
  </si>
  <si>
    <t>priya   SHARMA</t>
  </si>
  <si>
    <t>PRIYA.SHARMA@COMPANY.IN</t>
  </si>
  <si>
    <t>9185780836</t>
  </si>
  <si>
    <t>30/07/2021</t>
  </si>
  <si>
    <t>EMP-1138</t>
  </si>
  <si>
    <t>Nikhil      Kulkarni</t>
  </si>
  <si>
    <t>Nikhil.Kulkarni@gmail.com</t>
  </si>
  <si>
    <t>9878611573</t>
  </si>
  <si>
    <t>24/11/2023</t>
  </si>
  <si>
    <t>EMP-1139</t>
  </si>
  <si>
    <t>NIKHIL.PATEL@ABCTECH.COM</t>
  </si>
  <si>
    <t>9773388203</t>
  </si>
  <si>
    <t>19/09/2020</t>
  </si>
  <si>
    <t>EMP-1140</t>
  </si>
  <si>
    <t xml:space="preserve">  ajay naik   </t>
  </si>
  <si>
    <t>AJAY.NAIK@YAHOO.COM</t>
  </si>
  <si>
    <t>9872483700</t>
  </si>
  <si>
    <t>06/03/2025</t>
  </si>
  <si>
    <t>EMP-1141</t>
  </si>
  <si>
    <t>Ankit Patil</t>
  </si>
  <si>
    <t>Ankit.Patil@abctech.com</t>
  </si>
  <si>
    <t>9762296324</t>
  </si>
  <si>
    <t>07/04/2021</t>
  </si>
  <si>
    <t>EMP-1142</t>
  </si>
  <si>
    <t>Akash Patil</t>
  </si>
  <si>
    <t>AKASH.PATIL@YAHOO.COM</t>
  </si>
  <si>
    <t>9518865783</t>
  </si>
  <si>
    <t>23/08/2021</t>
  </si>
  <si>
    <t>EMP-1143</t>
  </si>
  <si>
    <t>SAURABH SINGH</t>
  </si>
  <si>
    <t>Saurabh.Singh@Yahoo.Com</t>
  </si>
  <si>
    <t>9793779469</t>
  </si>
  <si>
    <t>28/03/2023</t>
  </si>
  <si>
    <t>EMP-1144</t>
  </si>
  <si>
    <t>Kiran      Verma</t>
  </si>
  <si>
    <t>KIRAN.VERMA@GMAIL.COM</t>
  </si>
  <si>
    <t>9345966315</t>
  </si>
  <si>
    <t>08/02/2022</t>
  </si>
  <si>
    <t>EMP-1145</t>
  </si>
  <si>
    <t>priya   KADAM</t>
  </si>
  <si>
    <t>PRIYA.KADAM@YAHOO.COM</t>
  </si>
  <si>
    <t>9030698018</t>
  </si>
  <si>
    <t>EMP-1146</t>
  </si>
  <si>
    <t>Ankit      Naik</t>
  </si>
  <si>
    <t>ANKIT.NAIK@COMPANY.IN</t>
  </si>
  <si>
    <t>9470913709</t>
  </si>
  <si>
    <t>13/09/2023</t>
  </si>
  <si>
    <t>EMP-1147</t>
  </si>
  <si>
    <t>kavita   JADHAV</t>
  </si>
  <si>
    <t>Kavita.Jadhav@gmail.com</t>
  </si>
  <si>
    <t>9086238065</t>
  </si>
  <si>
    <t>11/09/2021</t>
  </si>
  <si>
    <t>EMP-1148</t>
  </si>
  <si>
    <t xml:space="preserve">  vikas naik   </t>
  </si>
  <si>
    <t>Vikas.Naik@yahoo.com</t>
  </si>
  <si>
    <t>9680966075</t>
  </si>
  <si>
    <t>04/11/2024</t>
  </si>
  <si>
    <t>EMP-1149</t>
  </si>
  <si>
    <t xml:space="preserve">  ankit nair   </t>
  </si>
  <si>
    <t>Ankit.Nair@gmail.com</t>
  </si>
  <si>
    <t>9369732645</t>
  </si>
  <si>
    <t>24/03/2024</t>
  </si>
  <si>
    <t>EMP-1150</t>
  </si>
  <si>
    <t>AMIT SINGH</t>
  </si>
  <si>
    <t>AMIT.SINGH@ABCTECH.COM</t>
  </si>
  <si>
    <t>9339931529</t>
  </si>
  <si>
    <t>09/10/2022</t>
  </si>
  <si>
    <t>EMP-1151</t>
  </si>
  <si>
    <t>RAHUL DESHMUKH</t>
  </si>
  <si>
    <t>Rahul.Deshmukh@gmail.com</t>
  </si>
  <si>
    <t>9316765505</t>
  </si>
  <si>
    <t>12/11/2025</t>
  </si>
  <si>
    <t>EMP-1152</t>
  </si>
  <si>
    <t>Saurabh Yadav</t>
  </si>
  <si>
    <t>Saurabh.Yadav@Yahoo.Com</t>
  </si>
  <si>
    <t>9275877644</t>
  </si>
  <si>
    <t>10/12/2023</t>
  </si>
  <si>
    <t>EMP-1153</t>
  </si>
  <si>
    <t>Amit      Jadhav</t>
  </si>
  <si>
    <t>Amit.Jadhav@Yahoo.Com</t>
  </si>
  <si>
    <t>9597423064</t>
  </si>
  <si>
    <t>02/11/2025</t>
  </si>
  <si>
    <t>EMP-1154</t>
  </si>
  <si>
    <t>KAVITA GUPTA</t>
  </si>
  <si>
    <t>Kavita.Gupta@yahoo.com</t>
  </si>
  <si>
    <t>9826738977</t>
  </si>
  <si>
    <t>30/01/2021</t>
  </si>
  <si>
    <t>EMP-1155</t>
  </si>
  <si>
    <t>POOJA DESHMUKH</t>
  </si>
  <si>
    <t>Pooja.Deshmukh@Company.In</t>
  </si>
  <si>
    <t>9203603571</t>
  </si>
  <si>
    <t>13/11/2025</t>
  </si>
  <si>
    <t>EMP-1156</t>
  </si>
  <si>
    <t xml:space="preserve">  anjali sharma   </t>
  </si>
  <si>
    <t>Anjali.Sharma@company.in</t>
  </si>
  <si>
    <t>9100605086</t>
  </si>
  <si>
    <t>14/10/2020</t>
  </si>
  <si>
    <t>EMP-1157</t>
  </si>
  <si>
    <t>KIRAN NAIK</t>
  </si>
  <si>
    <t>KIRAN.NAIK@COMPANY.IN</t>
  </si>
  <si>
    <t>9652245011</t>
  </si>
  <si>
    <t>21/03/2024</t>
  </si>
  <si>
    <t>EMP-1158</t>
  </si>
  <si>
    <t>vivek   MISHRA</t>
  </si>
  <si>
    <t>Vivek.Mishra@Yahoo.Com</t>
  </si>
  <si>
    <t>9700989638</t>
  </si>
  <si>
    <t>01/03/2022</t>
  </si>
  <si>
    <t>EMP-1159</t>
  </si>
  <si>
    <t>Nikhil Yadav</t>
  </si>
  <si>
    <t>Nikhil.Yadav@Gmail.Com</t>
  </si>
  <si>
    <t>9820631325</t>
  </si>
  <si>
    <t>27/07/2024</t>
  </si>
  <si>
    <t>EMP-1160</t>
  </si>
  <si>
    <t>Rohit.Gupta@Gmail.Com</t>
  </si>
  <si>
    <t>9924162955</t>
  </si>
  <si>
    <t>25/02/2020</t>
  </si>
  <si>
    <t>EMP-1161</t>
  </si>
  <si>
    <t>Komal Chavan</t>
  </si>
  <si>
    <t>Komal.Chavan@abctech.com</t>
  </si>
  <si>
    <t>9548922722</t>
  </si>
  <si>
    <t>24/11/2021</t>
  </si>
  <si>
    <t>EMP-1162</t>
  </si>
  <si>
    <t xml:space="preserve">  kavita yadav   </t>
  </si>
  <si>
    <t>Kavita.Yadav@abctech.com</t>
  </si>
  <si>
    <t>9743398156</t>
  </si>
  <si>
    <t>13/06/2024</t>
  </si>
  <si>
    <t>EMP-1163</t>
  </si>
  <si>
    <t xml:space="preserve">  sneha rao   </t>
  </si>
  <si>
    <t>SNEHA.RAO@GMAIL.COM</t>
  </si>
  <si>
    <t>9999371359</t>
  </si>
  <si>
    <t>07/08/2023</t>
  </si>
  <si>
    <t>EMP-1164</t>
  </si>
  <si>
    <t>KOMAL SHARMA</t>
  </si>
  <si>
    <t>Komal.Sharma@gmail.com</t>
  </si>
  <si>
    <t>9507685573</t>
  </si>
  <si>
    <t>07/06/2022</t>
  </si>
  <si>
    <t>EMP-1165</t>
  </si>
  <si>
    <t>Neha Nair</t>
  </si>
  <si>
    <t>NEHA.NAIR@YAHOO.COM</t>
  </si>
  <si>
    <t>9677923787</t>
  </si>
  <si>
    <t>23/12/2022</t>
  </si>
  <si>
    <t>EMP-1166</t>
  </si>
  <si>
    <t>Amit.Joshi@Gmail.Com</t>
  </si>
  <si>
    <t>9273238430</t>
  </si>
  <si>
    <t>28/06/2021</t>
  </si>
  <si>
    <t>EMP-1167</t>
  </si>
  <si>
    <t>Priya Naik</t>
  </si>
  <si>
    <t>PRIYA.NAIK@COMPANY.IN</t>
  </si>
  <si>
    <t>9330402308</t>
  </si>
  <si>
    <t>26/08/2023</t>
  </si>
  <si>
    <t>EMP-1168</t>
  </si>
  <si>
    <t xml:space="preserve">  vikas deshmukh   </t>
  </si>
  <si>
    <t>Vikas.Deshmukh@Abctech.Com</t>
  </si>
  <si>
    <t>9963451189</t>
  </si>
  <si>
    <t>22/08/2020</t>
  </si>
  <si>
    <t>EMP-1169</t>
  </si>
  <si>
    <t>Vikas      More</t>
  </si>
  <si>
    <t>VIKAS.MORE@COMPANY.IN</t>
  </si>
  <si>
    <t>9783342589</t>
  </si>
  <si>
    <t>08/12/2024</t>
  </si>
  <si>
    <t>EMP-1170</t>
  </si>
  <si>
    <t xml:space="preserve">  rohit nair   </t>
  </si>
  <si>
    <t>ROHIT.NAIR@YAHOO.COM</t>
  </si>
  <si>
    <t>9676061734</t>
  </si>
  <si>
    <t>01/02/2022</t>
  </si>
  <si>
    <t>EMP-1171</t>
  </si>
  <si>
    <t>NEHA DESHMUKH</t>
  </si>
  <si>
    <t>Neha.Deshmukh@Yahoo.Com</t>
  </si>
  <si>
    <t>9367136028</t>
  </si>
  <si>
    <t>06/10/2025</t>
  </si>
  <si>
    <t>EMP-1172</t>
  </si>
  <si>
    <t>Komal      Naik</t>
  </si>
  <si>
    <t>KOMAL.NAIK@GMAIL.COM</t>
  </si>
  <si>
    <t>9994322650</t>
  </si>
  <si>
    <t>11/07/2023</t>
  </si>
  <si>
    <t>EMP-1173</t>
  </si>
  <si>
    <t xml:space="preserve">  priya pawar   </t>
  </si>
  <si>
    <t>PRIYA.PAWAR@COMPANY.IN</t>
  </si>
  <si>
    <t>9391969757</t>
  </si>
  <si>
    <t>08/02/2020</t>
  </si>
  <si>
    <t>EMP-1174</t>
  </si>
  <si>
    <t>Komal Shinde</t>
  </si>
  <si>
    <t>Komal.Shinde@gmail.com</t>
  </si>
  <si>
    <t>9104761356</t>
  </si>
  <si>
    <t>24/04/2023</t>
  </si>
  <si>
    <t>EMP-1175</t>
  </si>
  <si>
    <t>9045774447</t>
  </si>
  <si>
    <t>07/04/2024</t>
  </si>
  <si>
    <t>EMP-1176</t>
  </si>
  <si>
    <t>Nikhil      Patil</t>
  </si>
  <si>
    <t>Nikhil.Patil@Yahoo.Com</t>
  </si>
  <si>
    <t>9344648388</t>
  </si>
  <si>
    <t>11/05/2025</t>
  </si>
  <si>
    <t>EMP-1177</t>
  </si>
  <si>
    <t>PRIYA KULKARNI</t>
  </si>
  <si>
    <t>Priya.Kulkarni@Yahoo.Com</t>
  </si>
  <si>
    <t>9380738825</t>
  </si>
  <si>
    <t>01/03/2021</t>
  </si>
  <si>
    <t>EMP-1178</t>
  </si>
  <si>
    <t>Pooja Kulkarni</t>
  </si>
  <si>
    <t>Pooja.Kulkarni@Yahoo.Com</t>
  </si>
  <si>
    <t>9515627360</t>
  </si>
  <si>
    <t>30/05/2023</t>
  </si>
  <si>
    <t>EMP-1179</t>
  </si>
  <si>
    <t>Anjali      Deshmukh</t>
  </si>
  <si>
    <t>Anjali.Deshmukh@Yahoo.Com</t>
  </si>
  <si>
    <t>9585253010</t>
  </si>
  <si>
    <t>03/04/2023</t>
  </si>
  <si>
    <t>EMP-1180</t>
  </si>
  <si>
    <t>Vikas      Singh</t>
  </si>
  <si>
    <t>VIKAS.SINGH@YAHOO.COM</t>
  </si>
  <si>
    <t>9558805195</t>
  </si>
  <si>
    <t>16/10/2025</t>
  </si>
  <si>
    <t>EMP-1181</t>
  </si>
  <si>
    <t>Kavita Nair</t>
  </si>
  <si>
    <t>Kavita.Nair@yahoo.com</t>
  </si>
  <si>
    <t>9789455763</t>
  </si>
  <si>
    <t>23/05/2022</t>
  </si>
  <si>
    <t>EMP-1182</t>
  </si>
  <si>
    <t>Kavita      Jadhav</t>
  </si>
  <si>
    <t>9885934359</t>
  </si>
  <si>
    <t>29/02/2020</t>
  </si>
  <si>
    <t>EMP-1183</t>
  </si>
  <si>
    <t>neha   PATIL</t>
  </si>
  <si>
    <t>Neha.Patil@company.in</t>
  </si>
  <si>
    <t>9880053974</t>
  </si>
  <si>
    <t>19/02/2024</t>
  </si>
  <si>
    <t>EMP-1184</t>
  </si>
  <si>
    <t>Rohit      Kulkarni</t>
  </si>
  <si>
    <t>Rohit.Kulkarni@abctech.com</t>
  </si>
  <si>
    <t>9098503780</t>
  </si>
  <si>
    <t>03/12/2022</t>
  </si>
  <si>
    <t>EMP-1185</t>
  </si>
  <si>
    <t>Anjali Kadam</t>
  </si>
  <si>
    <t>Anjali.Kadam@gmail.com</t>
  </si>
  <si>
    <t>9208592075</t>
  </si>
  <si>
    <t>02/06/2020</t>
  </si>
  <si>
    <t>EMP-1186</t>
  </si>
  <si>
    <t>9195829363</t>
  </si>
  <si>
    <t>11/11/2021</t>
  </si>
  <si>
    <t>EMP-1187</t>
  </si>
  <si>
    <t>RIYA PAWAR</t>
  </si>
  <si>
    <t>Riya.Pawar@yahoo.com</t>
  </si>
  <si>
    <t>9142357059</t>
  </si>
  <si>
    <t>09/08/2021</t>
  </si>
  <si>
    <t>EMP-1188</t>
  </si>
  <si>
    <t>nikhil   RAO</t>
  </si>
  <si>
    <t>NIKHIL.RAO@YAHOO.COM</t>
  </si>
  <si>
    <t>9254775995</t>
  </si>
  <si>
    <t>08/05/2022</t>
  </si>
  <si>
    <t>EMP-1189</t>
  </si>
  <si>
    <t>ANJALI PAWAR</t>
  </si>
  <si>
    <t>Anjali.Pawar@gmail.com</t>
  </si>
  <si>
    <t>9997543042</t>
  </si>
  <si>
    <t>20/11/2023</t>
  </si>
  <si>
    <t>EMP-1190</t>
  </si>
  <si>
    <t>Vivek.Patel@company.in</t>
  </si>
  <si>
    <t>9207491370</t>
  </si>
  <si>
    <t>30/12/2025</t>
  </si>
  <si>
    <t>EMP-1191</t>
  </si>
  <si>
    <t>AKASH DESHMUKH</t>
  </si>
  <si>
    <t>AKASH.DESHMUKH@YAHOO.COM</t>
  </si>
  <si>
    <t>9219846715</t>
  </si>
  <si>
    <t>29/04/2022</t>
  </si>
  <si>
    <t>EMP-1192</t>
  </si>
  <si>
    <t xml:space="preserve">  neha jadhav   </t>
  </si>
  <si>
    <t>Neha.Jadhav@Yahoo.Com</t>
  </si>
  <si>
    <t>9586119391</t>
  </si>
  <si>
    <t>13/08/2023</t>
  </si>
  <si>
    <t>EMP-1193</t>
  </si>
  <si>
    <t>AMIT SHARMA</t>
  </si>
  <si>
    <t>Amit.Sharma@abctech.com</t>
  </si>
  <si>
    <t>9496960032</t>
  </si>
  <si>
    <t>27/02/2022</t>
  </si>
  <si>
    <t>EMP-1194</t>
  </si>
  <si>
    <t>Saurabh Patil</t>
  </si>
  <si>
    <t>Saurabh.Patil@gmail.com</t>
  </si>
  <si>
    <t>9473202463</t>
  </si>
  <si>
    <t>10/11/2022</t>
  </si>
  <si>
    <t>EMP-1195</t>
  </si>
  <si>
    <t>NIKHIL SHARMA</t>
  </si>
  <si>
    <t>Nikhil.Sharma@company.in</t>
  </si>
  <si>
    <t>9065530380</t>
  </si>
  <si>
    <t>23/03/2025</t>
  </si>
  <si>
    <t>EMP-1196</t>
  </si>
  <si>
    <t>Anjali Joshi</t>
  </si>
  <si>
    <t>Anjali.Joshi@yahoo.com</t>
  </si>
  <si>
    <t>9750082191</t>
  </si>
  <si>
    <t>25/07/2021</t>
  </si>
  <si>
    <t>EMP-1197</t>
  </si>
  <si>
    <t>sneha   RAO</t>
  </si>
  <si>
    <t>SNEHA.RAO@YAHOO.COM</t>
  </si>
  <si>
    <t>9762952365</t>
  </si>
  <si>
    <t>14/02/2023</t>
  </si>
  <si>
    <t>EMP-1198</t>
  </si>
  <si>
    <t>9894784102</t>
  </si>
  <si>
    <t>10/02/2021</t>
  </si>
  <si>
    <t>EMP-1199</t>
  </si>
  <si>
    <t xml:space="preserve">  anjali pawar   </t>
  </si>
  <si>
    <t>Anjali.Pawar@Abctech.Com</t>
  </si>
  <si>
    <t>9325004686</t>
  </si>
  <si>
    <t>11/12/2025</t>
  </si>
  <si>
    <t>EMP-1200</t>
  </si>
  <si>
    <t>Meera Jadhav</t>
  </si>
  <si>
    <t>Meera.Jadhav@Gmail.Com</t>
  </si>
  <si>
    <t>9111617464</t>
  </si>
  <si>
    <t>25/01/2025</t>
  </si>
  <si>
    <t xml:space="preserve">High Salary </t>
  </si>
  <si>
    <t xml:space="preserve">Total </t>
  </si>
  <si>
    <t>Avg</t>
  </si>
  <si>
    <t>Lowest Salary</t>
  </si>
  <si>
    <t>Count Numeric Values</t>
  </si>
  <si>
    <t>Round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</si>
</sst>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3" fillId="0" borderId="1" xfId="0" applyFont="1" applyBorder="1" applyAlignment="1">
      <alignment horizontal="center"/>
    </xf>
    <xf numFmtId="0" fontId="2" fillId="0" borderId="0" xfId="0" applyFont="1"/>
    <xf numFmtId="0" fontId="3" fillId="0" borderId="2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7"/>
  <sheetViews>
    <sheetView tabSelected="1" zoomScaleNormal="100" workbookViewId="0">
      <pane ySplit="1" topLeftCell="A2" activePane="bottomLeft" state="frozen"/>
      <selection pane="bottomLeft" activeCell="K11" sqref="K11"/>
    </sheetView>
  </sheetViews>
  <sheetFormatPr defaultRowHeight="14.4" x14ac:dyDescent="0.3"/>
  <cols>
    <col min="1" max="1" width="11.5546875" bestFit="1" customWidth="1"/>
    <col min="2" max="2" width="17.21875" bestFit="1" customWidth="1"/>
    <col min="3" max="3" width="11.6640625" bestFit="1" customWidth="1"/>
    <col min="4" max="4" width="29.88671875" bestFit="1" customWidth="1"/>
    <col min="5" max="5" width="11" bestFit="1" customWidth="1"/>
    <col min="6" max="6" width="19.21875" bestFit="1" customWidth="1"/>
    <col min="7" max="7" width="11.5546875" style="9" customWidth="1"/>
    <col min="8" max="8" width="10.6640625" bestFit="1" customWidth="1"/>
    <col min="9" max="9" width="12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4" t="s">
        <v>7</v>
      </c>
      <c r="I1" s="6" t="s">
        <v>1025</v>
      </c>
    </row>
    <row r="2" spans="1:9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7">
        <v>28000.5484</v>
      </c>
      <c r="H2" s="2" t="s">
        <v>14</v>
      </c>
      <c r="I2" s="3">
        <f>ROUND(G2,2)</f>
        <v>28000.55</v>
      </c>
    </row>
    <row r="3" spans="1:9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7">
        <v>51000</v>
      </c>
      <c r="H3" s="2" t="s">
        <v>21</v>
      </c>
      <c r="I3" s="3">
        <f t="shared" ref="I3:I66" si="0">ROUND(G3,2)</f>
        <v>51000</v>
      </c>
    </row>
    <row r="4" spans="1:9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7">
        <v>55000</v>
      </c>
      <c r="H4" s="2" t="s">
        <v>28</v>
      </c>
      <c r="I4" s="3">
        <f t="shared" si="0"/>
        <v>55000</v>
      </c>
    </row>
    <row r="5" spans="1:9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7">
        <v>59000</v>
      </c>
      <c r="H5" s="2" t="s">
        <v>35</v>
      </c>
      <c r="I5" s="3">
        <f t="shared" si="0"/>
        <v>59000</v>
      </c>
    </row>
    <row r="6" spans="1:9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7">
        <v>65000</v>
      </c>
      <c r="H6" s="2" t="s">
        <v>28</v>
      </c>
      <c r="I6" s="3">
        <f t="shared" si="0"/>
        <v>65000</v>
      </c>
    </row>
    <row r="7" spans="1:9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7">
        <v>116000</v>
      </c>
      <c r="H7" s="2" t="s">
        <v>35</v>
      </c>
      <c r="I7" s="3">
        <f t="shared" si="0"/>
        <v>116000</v>
      </c>
    </row>
    <row r="8" spans="1:9" x14ac:dyDescent="0.3">
      <c r="A8" s="2" t="s">
        <v>48</v>
      </c>
      <c r="B8" s="2" t="s">
        <v>49</v>
      </c>
      <c r="C8" s="2" t="s">
        <v>24</v>
      </c>
      <c r="D8" s="2" t="s">
        <v>50</v>
      </c>
      <c r="E8" s="2" t="s">
        <v>51</v>
      </c>
      <c r="F8" s="2" t="s">
        <v>52</v>
      </c>
      <c r="G8" s="7">
        <v>68000</v>
      </c>
      <c r="H8" s="2" t="s">
        <v>21</v>
      </c>
      <c r="I8" s="3">
        <f t="shared" si="0"/>
        <v>68000</v>
      </c>
    </row>
    <row r="9" spans="1:9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7">
        <v>26000</v>
      </c>
      <c r="H9" s="2" t="s">
        <v>28</v>
      </c>
      <c r="I9" s="3">
        <f t="shared" si="0"/>
        <v>26000</v>
      </c>
    </row>
    <row r="10" spans="1:9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7">
        <v>79000</v>
      </c>
      <c r="H10" s="2" t="s">
        <v>65</v>
      </c>
      <c r="I10" s="3">
        <f t="shared" si="0"/>
        <v>79000</v>
      </c>
    </row>
    <row r="11" spans="1:9" x14ac:dyDescent="0.3">
      <c r="A11" s="2" t="s">
        <v>66</v>
      </c>
      <c r="B11" s="2" t="s">
        <v>67</v>
      </c>
      <c r="C11" s="2" t="s">
        <v>24</v>
      </c>
      <c r="D11" s="2" t="s">
        <v>68</v>
      </c>
      <c r="E11" s="2" t="s">
        <v>69</v>
      </c>
      <c r="F11" s="2" t="s">
        <v>70</v>
      </c>
      <c r="G11" s="7">
        <v>46000</v>
      </c>
      <c r="H11" s="2" t="s">
        <v>21</v>
      </c>
      <c r="I11" s="3">
        <f t="shared" si="0"/>
        <v>46000</v>
      </c>
    </row>
    <row r="12" spans="1:9" x14ac:dyDescent="0.3">
      <c r="A12" s="2" t="s">
        <v>71</v>
      </c>
      <c r="B12" s="2" t="s">
        <v>72</v>
      </c>
      <c r="C12" s="2" t="s">
        <v>24</v>
      </c>
      <c r="D12" s="2" t="s">
        <v>73</v>
      </c>
      <c r="E12" s="2" t="s">
        <v>74</v>
      </c>
      <c r="F12" s="2" t="s">
        <v>75</v>
      </c>
      <c r="G12" s="7">
        <v>54000</v>
      </c>
      <c r="H12" s="2" t="s">
        <v>65</v>
      </c>
      <c r="I12" s="3">
        <f t="shared" si="0"/>
        <v>54000</v>
      </c>
    </row>
    <row r="13" spans="1:9" x14ac:dyDescent="0.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7">
        <v>80000</v>
      </c>
      <c r="H13" s="2" t="s">
        <v>82</v>
      </c>
      <c r="I13" s="3">
        <f t="shared" si="0"/>
        <v>80000</v>
      </c>
    </row>
    <row r="14" spans="1:9" x14ac:dyDescent="0.3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7">
        <v>105000</v>
      </c>
      <c r="H14" s="2" t="s">
        <v>65</v>
      </c>
      <c r="I14" s="3">
        <f t="shared" si="0"/>
        <v>105000</v>
      </c>
    </row>
    <row r="15" spans="1:9" x14ac:dyDescent="0.3">
      <c r="A15" s="2" t="s">
        <v>89</v>
      </c>
      <c r="B15" s="2" t="s">
        <v>90</v>
      </c>
      <c r="C15" s="2" t="s">
        <v>61</v>
      </c>
      <c r="D15" s="2" t="s">
        <v>91</v>
      </c>
      <c r="E15" s="2" t="s">
        <v>92</v>
      </c>
      <c r="F15" s="2" t="s">
        <v>93</v>
      </c>
      <c r="G15" s="7">
        <v>30000</v>
      </c>
      <c r="H15" s="2" t="s">
        <v>14</v>
      </c>
      <c r="I15" s="3">
        <f t="shared" si="0"/>
        <v>30000</v>
      </c>
    </row>
    <row r="16" spans="1:9" x14ac:dyDescent="0.3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7">
        <v>25000</v>
      </c>
      <c r="H16" s="2" t="s">
        <v>100</v>
      </c>
      <c r="I16" s="3">
        <f t="shared" si="0"/>
        <v>25000</v>
      </c>
    </row>
    <row r="17" spans="1:9" x14ac:dyDescent="0.3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105</v>
      </c>
      <c r="F17" s="2" t="s">
        <v>106</v>
      </c>
      <c r="G17" s="7">
        <v>85000</v>
      </c>
      <c r="H17" s="2" t="s">
        <v>100</v>
      </c>
      <c r="I17" s="3">
        <f t="shared" si="0"/>
        <v>85000</v>
      </c>
    </row>
    <row r="18" spans="1:9" x14ac:dyDescent="0.3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112</v>
      </c>
      <c r="G18" s="7">
        <v>116000</v>
      </c>
      <c r="H18" s="2" t="s">
        <v>100</v>
      </c>
      <c r="I18" s="3">
        <f t="shared" si="0"/>
        <v>116000</v>
      </c>
    </row>
    <row r="19" spans="1:9" x14ac:dyDescent="0.3">
      <c r="A19" s="2" t="s">
        <v>113</v>
      </c>
      <c r="B19" s="2" t="s">
        <v>114</v>
      </c>
      <c r="C19" s="2" t="s">
        <v>24</v>
      </c>
      <c r="D19" s="2" t="s">
        <v>115</v>
      </c>
      <c r="E19" s="2" t="s">
        <v>116</v>
      </c>
      <c r="F19" s="2" t="s">
        <v>117</v>
      </c>
      <c r="G19" s="7">
        <v>113000</v>
      </c>
      <c r="H19" s="2" t="s">
        <v>65</v>
      </c>
      <c r="I19" s="3">
        <f t="shared" si="0"/>
        <v>113000</v>
      </c>
    </row>
    <row r="20" spans="1:9" x14ac:dyDescent="0.3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123</v>
      </c>
      <c r="G20" s="7">
        <v>77000</v>
      </c>
      <c r="H20" s="2" t="s">
        <v>21</v>
      </c>
      <c r="I20" s="3">
        <f t="shared" si="0"/>
        <v>77000</v>
      </c>
    </row>
    <row r="21" spans="1:9" x14ac:dyDescent="0.3">
      <c r="A21" s="2" t="s">
        <v>124</v>
      </c>
      <c r="B21" s="2" t="s">
        <v>125</v>
      </c>
      <c r="C21" s="2" t="s">
        <v>55</v>
      </c>
      <c r="D21" s="2" t="s">
        <v>126</v>
      </c>
      <c r="E21" s="2" t="s">
        <v>127</v>
      </c>
      <c r="F21" s="2" t="s">
        <v>128</v>
      </c>
      <c r="G21" s="7">
        <v>82000</v>
      </c>
      <c r="H21" s="2" t="s">
        <v>129</v>
      </c>
      <c r="I21" s="3">
        <f t="shared" si="0"/>
        <v>82000</v>
      </c>
    </row>
    <row r="22" spans="1:9" x14ac:dyDescent="0.3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135</v>
      </c>
      <c r="G22" s="7">
        <v>29000</v>
      </c>
      <c r="H22" s="2" t="s">
        <v>65</v>
      </c>
      <c r="I22" s="3">
        <f t="shared" si="0"/>
        <v>29000</v>
      </c>
    </row>
    <row r="23" spans="1:9" x14ac:dyDescent="0.3">
      <c r="A23" s="2" t="s">
        <v>136</v>
      </c>
      <c r="B23" s="2" t="s">
        <v>137</v>
      </c>
      <c r="C23" s="2" t="s">
        <v>138</v>
      </c>
      <c r="D23" s="2" t="s">
        <v>139</v>
      </c>
      <c r="E23" s="2" t="s">
        <v>140</v>
      </c>
      <c r="F23" s="2" t="s">
        <v>141</v>
      </c>
      <c r="G23" s="7">
        <v>58000</v>
      </c>
      <c r="H23" s="2" t="s">
        <v>28</v>
      </c>
      <c r="I23" s="3">
        <f t="shared" si="0"/>
        <v>58000</v>
      </c>
    </row>
    <row r="24" spans="1:9" x14ac:dyDescent="0.3">
      <c r="A24" s="2" t="s">
        <v>142</v>
      </c>
      <c r="B24" s="2" t="s">
        <v>143</v>
      </c>
      <c r="C24" s="2" t="s">
        <v>144</v>
      </c>
      <c r="D24" s="2" t="s">
        <v>145</v>
      </c>
      <c r="E24" s="2" t="s">
        <v>146</v>
      </c>
      <c r="F24" s="2" t="s">
        <v>147</v>
      </c>
      <c r="G24" s="7">
        <v>52000</v>
      </c>
      <c r="H24" s="2" t="s">
        <v>65</v>
      </c>
      <c r="I24" s="3">
        <f t="shared" si="0"/>
        <v>52000</v>
      </c>
    </row>
    <row r="25" spans="1:9" x14ac:dyDescent="0.3">
      <c r="A25" s="2" t="s">
        <v>148</v>
      </c>
      <c r="B25" s="2" t="s">
        <v>149</v>
      </c>
      <c r="C25" s="2" t="s">
        <v>10</v>
      </c>
      <c r="D25" s="2" t="s">
        <v>150</v>
      </c>
      <c r="E25" s="2" t="s">
        <v>151</v>
      </c>
      <c r="F25" s="2" t="s">
        <v>152</v>
      </c>
      <c r="G25" s="7">
        <v>42000</v>
      </c>
      <c r="H25" s="2" t="s">
        <v>65</v>
      </c>
      <c r="I25" s="3">
        <f t="shared" si="0"/>
        <v>42000</v>
      </c>
    </row>
    <row r="26" spans="1:9" x14ac:dyDescent="0.3">
      <c r="A26" s="2" t="s">
        <v>153</v>
      </c>
      <c r="B26" s="2" t="s">
        <v>154</v>
      </c>
      <c r="C26" s="2" t="s">
        <v>109</v>
      </c>
      <c r="D26" s="2" t="s">
        <v>155</v>
      </c>
      <c r="E26" s="2" t="s">
        <v>156</v>
      </c>
      <c r="F26" s="2" t="s">
        <v>157</v>
      </c>
      <c r="G26" s="7">
        <v>118000.46874</v>
      </c>
      <c r="H26" s="2" t="s">
        <v>129</v>
      </c>
      <c r="I26" s="3">
        <f t="shared" si="0"/>
        <v>118000.47</v>
      </c>
    </row>
    <row r="27" spans="1:9" x14ac:dyDescent="0.3">
      <c r="A27" s="2" t="s">
        <v>158</v>
      </c>
      <c r="B27" s="2" t="s">
        <v>159</v>
      </c>
      <c r="C27" s="2" t="s">
        <v>160</v>
      </c>
      <c r="D27" s="2" t="s">
        <v>161</v>
      </c>
      <c r="E27" s="2" t="s">
        <v>162</v>
      </c>
      <c r="F27" s="2" t="s">
        <v>163</v>
      </c>
      <c r="G27" s="7">
        <v>81000</v>
      </c>
      <c r="H27" s="2" t="s">
        <v>21</v>
      </c>
      <c r="I27" s="3">
        <f t="shared" si="0"/>
        <v>81000</v>
      </c>
    </row>
    <row r="28" spans="1:9" x14ac:dyDescent="0.3">
      <c r="A28" s="2" t="s">
        <v>164</v>
      </c>
      <c r="B28" s="2" t="s">
        <v>165</v>
      </c>
      <c r="C28" s="2" t="s">
        <v>38</v>
      </c>
      <c r="D28" s="2" t="s">
        <v>166</v>
      </c>
      <c r="E28" s="2" t="s">
        <v>167</v>
      </c>
      <c r="F28" s="2" t="s">
        <v>168</v>
      </c>
      <c r="G28" s="7">
        <v>41000</v>
      </c>
      <c r="H28" s="2" t="s">
        <v>100</v>
      </c>
      <c r="I28" s="3">
        <f t="shared" si="0"/>
        <v>41000</v>
      </c>
    </row>
    <row r="29" spans="1:9" x14ac:dyDescent="0.3">
      <c r="A29" s="2" t="s">
        <v>169</v>
      </c>
      <c r="B29" s="2" t="s">
        <v>170</v>
      </c>
      <c r="C29" s="2" t="s">
        <v>171</v>
      </c>
      <c r="D29" s="2" t="s">
        <v>172</v>
      </c>
      <c r="E29" s="2" t="s">
        <v>173</v>
      </c>
      <c r="F29" s="2" t="s">
        <v>174</v>
      </c>
      <c r="G29" s="7">
        <v>73000</v>
      </c>
      <c r="H29" s="2" t="s">
        <v>21</v>
      </c>
      <c r="I29" s="3">
        <f t="shared" si="0"/>
        <v>73000</v>
      </c>
    </row>
    <row r="30" spans="1:9" x14ac:dyDescent="0.3">
      <c r="A30" s="2" t="s">
        <v>175</v>
      </c>
      <c r="B30" s="2" t="s">
        <v>176</v>
      </c>
      <c r="C30" s="2" t="s">
        <v>144</v>
      </c>
      <c r="D30" s="2" t="s">
        <v>177</v>
      </c>
      <c r="E30" s="2" t="s">
        <v>178</v>
      </c>
      <c r="F30" s="2" t="s">
        <v>179</v>
      </c>
      <c r="G30" s="7">
        <v>51000</v>
      </c>
      <c r="H30" s="2" t="s">
        <v>21</v>
      </c>
      <c r="I30" s="3">
        <f t="shared" si="0"/>
        <v>51000</v>
      </c>
    </row>
    <row r="31" spans="1:9" x14ac:dyDescent="0.3">
      <c r="A31" s="2" t="s">
        <v>180</v>
      </c>
      <c r="B31" s="2" t="s">
        <v>181</v>
      </c>
      <c r="C31" s="2" t="s">
        <v>24</v>
      </c>
      <c r="D31" s="2" t="s">
        <v>182</v>
      </c>
      <c r="E31" s="2" t="s">
        <v>183</v>
      </c>
      <c r="F31" s="2" t="s">
        <v>184</v>
      </c>
      <c r="G31" s="7">
        <v>119000</v>
      </c>
      <c r="H31" s="2" t="s">
        <v>28</v>
      </c>
      <c r="I31" s="3">
        <f t="shared" si="0"/>
        <v>119000</v>
      </c>
    </row>
    <row r="32" spans="1:9" x14ac:dyDescent="0.3">
      <c r="A32" s="2" t="s">
        <v>185</v>
      </c>
      <c r="B32" s="2" t="s">
        <v>186</v>
      </c>
      <c r="C32" s="2" t="s">
        <v>160</v>
      </c>
      <c r="D32" s="2" t="s">
        <v>187</v>
      </c>
      <c r="E32" s="2" t="s">
        <v>188</v>
      </c>
      <c r="F32" s="2" t="s">
        <v>189</v>
      </c>
      <c r="G32" s="7">
        <v>91000</v>
      </c>
      <c r="H32" s="2" t="s">
        <v>129</v>
      </c>
      <c r="I32" s="3">
        <f t="shared" si="0"/>
        <v>91000</v>
      </c>
    </row>
    <row r="33" spans="1:9" x14ac:dyDescent="0.3">
      <c r="A33" s="2" t="s">
        <v>190</v>
      </c>
      <c r="B33" s="2" t="s">
        <v>191</v>
      </c>
      <c r="C33" s="2" t="s">
        <v>192</v>
      </c>
      <c r="D33" s="2" t="s">
        <v>193</v>
      </c>
      <c r="E33" s="2" t="s">
        <v>194</v>
      </c>
      <c r="F33" s="2" t="s">
        <v>195</v>
      </c>
      <c r="G33" s="7">
        <v>114000</v>
      </c>
      <c r="H33" s="2" t="s">
        <v>100</v>
      </c>
      <c r="I33" s="3">
        <f t="shared" si="0"/>
        <v>114000</v>
      </c>
    </row>
    <row r="34" spans="1:9" x14ac:dyDescent="0.3">
      <c r="A34" s="2" t="s">
        <v>196</v>
      </c>
      <c r="B34" s="2" t="s">
        <v>197</v>
      </c>
      <c r="C34" s="2" t="s">
        <v>61</v>
      </c>
      <c r="D34" s="2" t="s">
        <v>198</v>
      </c>
      <c r="E34" s="2" t="s">
        <v>199</v>
      </c>
      <c r="F34" s="2" t="s">
        <v>200</v>
      </c>
      <c r="G34" s="7">
        <v>108000</v>
      </c>
      <c r="H34" s="2" t="s">
        <v>35</v>
      </c>
      <c r="I34" s="3">
        <f t="shared" si="0"/>
        <v>108000</v>
      </c>
    </row>
    <row r="35" spans="1:9" x14ac:dyDescent="0.3">
      <c r="A35" s="2" t="s">
        <v>201</v>
      </c>
      <c r="B35" s="2" t="s">
        <v>202</v>
      </c>
      <c r="C35" s="2" t="s">
        <v>17</v>
      </c>
      <c r="D35" s="2" t="s">
        <v>203</v>
      </c>
      <c r="E35" s="2" t="s">
        <v>204</v>
      </c>
      <c r="F35" s="2" t="s">
        <v>205</v>
      </c>
      <c r="G35" s="7">
        <v>111000</v>
      </c>
      <c r="H35" s="2" t="s">
        <v>129</v>
      </c>
      <c r="I35" s="3">
        <f t="shared" si="0"/>
        <v>111000</v>
      </c>
    </row>
    <row r="36" spans="1:9" x14ac:dyDescent="0.3">
      <c r="A36" s="2" t="s">
        <v>206</v>
      </c>
      <c r="B36" s="2" t="s">
        <v>207</v>
      </c>
      <c r="C36" s="2" t="s">
        <v>138</v>
      </c>
      <c r="D36" s="2" t="s">
        <v>208</v>
      </c>
      <c r="E36" s="2" t="s">
        <v>209</v>
      </c>
      <c r="F36" s="2" t="s">
        <v>210</v>
      </c>
      <c r="G36" s="7">
        <v>31000</v>
      </c>
      <c r="H36" s="2" t="s">
        <v>100</v>
      </c>
      <c r="I36" s="3">
        <f t="shared" si="0"/>
        <v>31000</v>
      </c>
    </row>
    <row r="37" spans="1:9" x14ac:dyDescent="0.3">
      <c r="A37" s="2" t="s">
        <v>211</v>
      </c>
      <c r="B37" s="2" t="s">
        <v>212</v>
      </c>
      <c r="C37" s="2" t="s">
        <v>160</v>
      </c>
      <c r="D37" s="2" t="s">
        <v>213</v>
      </c>
      <c r="E37" s="2" t="s">
        <v>214</v>
      </c>
      <c r="F37" s="2" t="s">
        <v>215</v>
      </c>
      <c r="G37" s="7">
        <v>31000</v>
      </c>
      <c r="H37" s="2" t="s">
        <v>82</v>
      </c>
      <c r="I37" s="3">
        <f t="shared" si="0"/>
        <v>31000</v>
      </c>
    </row>
    <row r="38" spans="1:9" x14ac:dyDescent="0.3">
      <c r="A38" s="2" t="s">
        <v>216</v>
      </c>
      <c r="B38" s="2" t="s">
        <v>217</v>
      </c>
      <c r="C38" s="2" t="s">
        <v>132</v>
      </c>
      <c r="D38" s="2" t="s">
        <v>91</v>
      </c>
      <c r="E38" s="2" t="s">
        <v>218</v>
      </c>
      <c r="F38" s="2" t="s">
        <v>219</v>
      </c>
      <c r="G38" s="7">
        <v>26000</v>
      </c>
      <c r="H38" s="2" t="s">
        <v>35</v>
      </c>
      <c r="I38" s="3">
        <f t="shared" si="0"/>
        <v>26000</v>
      </c>
    </row>
    <row r="39" spans="1:9" x14ac:dyDescent="0.3">
      <c r="A39" s="2" t="s">
        <v>220</v>
      </c>
      <c r="B39" s="2" t="s">
        <v>221</v>
      </c>
      <c r="C39" s="2" t="s">
        <v>222</v>
      </c>
      <c r="D39" s="2" t="s">
        <v>223</v>
      </c>
      <c r="E39" s="2" t="s">
        <v>224</v>
      </c>
      <c r="F39" s="2" t="s">
        <v>225</v>
      </c>
      <c r="G39" s="7">
        <v>30000</v>
      </c>
      <c r="H39" s="2" t="s">
        <v>28</v>
      </c>
      <c r="I39" s="3">
        <f t="shared" si="0"/>
        <v>30000</v>
      </c>
    </row>
    <row r="40" spans="1:9" x14ac:dyDescent="0.3">
      <c r="A40" s="2" t="s">
        <v>226</v>
      </c>
      <c r="B40" s="2" t="s">
        <v>227</v>
      </c>
      <c r="C40" s="2" t="s">
        <v>171</v>
      </c>
      <c r="D40" s="2" t="s">
        <v>228</v>
      </c>
      <c r="E40" s="2" t="s">
        <v>229</v>
      </c>
      <c r="F40" s="2" t="s">
        <v>230</v>
      </c>
      <c r="G40" s="7">
        <v>100000</v>
      </c>
      <c r="H40" s="2" t="s">
        <v>65</v>
      </c>
      <c r="I40" s="3">
        <f t="shared" si="0"/>
        <v>100000</v>
      </c>
    </row>
    <row r="41" spans="1:9" x14ac:dyDescent="0.3">
      <c r="A41" s="2" t="s">
        <v>231</v>
      </c>
      <c r="B41" s="2" t="s">
        <v>232</v>
      </c>
      <c r="C41" s="2" t="s">
        <v>120</v>
      </c>
      <c r="D41" s="2" t="s">
        <v>233</v>
      </c>
      <c r="E41" s="2" t="s">
        <v>234</v>
      </c>
      <c r="F41" s="2" t="s">
        <v>235</v>
      </c>
      <c r="G41" s="7">
        <v>40000</v>
      </c>
      <c r="H41" s="2" t="s">
        <v>82</v>
      </c>
      <c r="I41" s="3">
        <f t="shared" si="0"/>
        <v>40000</v>
      </c>
    </row>
    <row r="42" spans="1:9" x14ac:dyDescent="0.3">
      <c r="A42" s="2" t="s">
        <v>236</v>
      </c>
      <c r="B42" s="2" t="s">
        <v>237</v>
      </c>
      <c r="C42" s="2" t="s">
        <v>38</v>
      </c>
      <c r="D42" s="2" t="s">
        <v>238</v>
      </c>
      <c r="E42" s="2" t="s">
        <v>239</v>
      </c>
      <c r="F42" s="2" t="s">
        <v>240</v>
      </c>
      <c r="G42" s="7">
        <v>61000</v>
      </c>
      <c r="H42" s="2" t="s">
        <v>129</v>
      </c>
      <c r="I42" s="3">
        <f t="shared" si="0"/>
        <v>61000</v>
      </c>
    </row>
    <row r="43" spans="1:9" x14ac:dyDescent="0.3">
      <c r="A43" s="2" t="s">
        <v>241</v>
      </c>
      <c r="B43" s="2" t="s">
        <v>242</v>
      </c>
      <c r="C43" s="2" t="s">
        <v>44</v>
      </c>
      <c r="D43" s="2" t="s">
        <v>243</v>
      </c>
      <c r="E43" s="2" t="s">
        <v>244</v>
      </c>
      <c r="F43" s="2" t="s">
        <v>245</v>
      </c>
      <c r="G43" s="7">
        <v>95000</v>
      </c>
      <c r="H43" s="2" t="s">
        <v>28</v>
      </c>
      <c r="I43" s="3">
        <f t="shared" si="0"/>
        <v>95000</v>
      </c>
    </row>
    <row r="44" spans="1:9" x14ac:dyDescent="0.3">
      <c r="A44" s="2" t="s">
        <v>246</v>
      </c>
      <c r="B44" s="2" t="s">
        <v>247</v>
      </c>
      <c r="C44" s="2" t="s">
        <v>24</v>
      </c>
      <c r="D44" s="2" t="s">
        <v>248</v>
      </c>
      <c r="E44" s="2" t="s">
        <v>249</v>
      </c>
      <c r="F44" s="2" t="s">
        <v>250</v>
      </c>
      <c r="G44" s="7">
        <v>88000</v>
      </c>
      <c r="H44" s="2" t="s">
        <v>65</v>
      </c>
      <c r="I44" s="3">
        <f t="shared" si="0"/>
        <v>88000</v>
      </c>
    </row>
    <row r="45" spans="1:9" x14ac:dyDescent="0.3">
      <c r="A45" s="2" t="s">
        <v>251</v>
      </c>
      <c r="B45" s="2" t="s">
        <v>252</v>
      </c>
      <c r="C45" s="2" t="s">
        <v>31</v>
      </c>
      <c r="D45" s="2" t="s">
        <v>253</v>
      </c>
      <c r="E45" s="2" t="s">
        <v>254</v>
      </c>
      <c r="F45" s="2" t="s">
        <v>255</v>
      </c>
      <c r="G45" s="7">
        <v>57000</v>
      </c>
      <c r="H45" s="2" t="s">
        <v>21</v>
      </c>
      <c r="I45" s="3">
        <f t="shared" si="0"/>
        <v>57000</v>
      </c>
    </row>
    <row r="46" spans="1:9" x14ac:dyDescent="0.3">
      <c r="A46" s="2" t="s">
        <v>256</v>
      </c>
      <c r="B46" s="2" t="s">
        <v>257</v>
      </c>
      <c r="C46" s="2" t="s">
        <v>132</v>
      </c>
      <c r="D46" s="2" t="s">
        <v>258</v>
      </c>
      <c r="E46" s="2" t="s">
        <v>259</v>
      </c>
      <c r="F46" s="2" t="s">
        <v>260</v>
      </c>
      <c r="G46" s="7">
        <v>42000</v>
      </c>
      <c r="H46" s="2" t="s">
        <v>100</v>
      </c>
      <c r="I46" s="3">
        <f t="shared" si="0"/>
        <v>42000</v>
      </c>
    </row>
    <row r="47" spans="1:9" x14ac:dyDescent="0.3">
      <c r="A47" s="2" t="s">
        <v>261</v>
      </c>
      <c r="B47" s="2" t="s">
        <v>262</v>
      </c>
      <c r="C47" s="2" t="s">
        <v>85</v>
      </c>
      <c r="D47" s="2" t="s">
        <v>263</v>
      </c>
      <c r="E47" s="2" t="s">
        <v>264</v>
      </c>
      <c r="F47" s="2" t="s">
        <v>265</v>
      </c>
      <c r="G47" s="7">
        <v>104000</v>
      </c>
      <c r="H47" s="2" t="s">
        <v>35</v>
      </c>
      <c r="I47" s="3">
        <f t="shared" si="0"/>
        <v>104000</v>
      </c>
    </row>
    <row r="48" spans="1:9" x14ac:dyDescent="0.3">
      <c r="A48" s="2" t="s">
        <v>266</v>
      </c>
      <c r="B48" s="2" t="s">
        <v>267</v>
      </c>
      <c r="C48" s="2" t="s">
        <v>17</v>
      </c>
      <c r="D48" s="2" t="s">
        <v>268</v>
      </c>
      <c r="E48" s="2" t="s">
        <v>269</v>
      </c>
      <c r="F48" s="2" t="s">
        <v>270</v>
      </c>
      <c r="G48" s="7">
        <v>41000</v>
      </c>
      <c r="H48" s="2" t="s">
        <v>21</v>
      </c>
      <c r="I48" s="3">
        <f t="shared" si="0"/>
        <v>41000</v>
      </c>
    </row>
    <row r="49" spans="1:9" x14ac:dyDescent="0.3">
      <c r="A49" s="2" t="s">
        <v>271</v>
      </c>
      <c r="B49" s="2" t="s">
        <v>272</v>
      </c>
      <c r="C49" s="2" t="s">
        <v>103</v>
      </c>
      <c r="D49" s="2" t="s">
        <v>273</v>
      </c>
      <c r="E49" s="2" t="s">
        <v>274</v>
      </c>
      <c r="F49" s="2" t="s">
        <v>275</v>
      </c>
      <c r="G49" s="7">
        <v>111000</v>
      </c>
      <c r="H49" s="2" t="s">
        <v>100</v>
      </c>
      <c r="I49" s="3">
        <f t="shared" si="0"/>
        <v>111000</v>
      </c>
    </row>
    <row r="50" spans="1:9" x14ac:dyDescent="0.3">
      <c r="A50" s="2" t="s">
        <v>276</v>
      </c>
      <c r="B50" s="2" t="s">
        <v>277</v>
      </c>
      <c r="C50" s="2" t="s">
        <v>38</v>
      </c>
      <c r="D50" s="2" t="s">
        <v>278</v>
      </c>
      <c r="E50" s="2" t="s">
        <v>279</v>
      </c>
      <c r="F50" s="2" t="s">
        <v>280</v>
      </c>
      <c r="G50" s="7">
        <v>93000</v>
      </c>
      <c r="H50" s="2" t="s">
        <v>21</v>
      </c>
      <c r="I50" s="3">
        <f t="shared" si="0"/>
        <v>93000</v>
      </c>
    </row>
    <row r="51" spans="1:9" x14ac:dyDescent="0.3">
      <c r="A51" s="2" t="s">
        <v>281</v>
      </c>
      <c r="B51" s="2" t="s">
        <v>282</v>
      </c>
      <c r="C51" s="2" t="s">
        <v>103</v>
      </c>
      <c r="D51" s="2" t="s">
        <v>283</v>
      </c>
      <c r="E51" s="2" t="s">
        <v>284</v>
      </c>
      <c r="F51" s="2" t="s">
        <v>285</v>
      </c>
      <c r="G51" s="7">
        <v>94000</v>
      </c>
      <c r="H51" s="2" t="s">
        <v>35</v>
      </c>
      <c r="I51" s="3">
        <f t="shared" si="0"/>
        <v>94000</v>
      </c>
    </row>
    <row r="52" spans="1:9" x14ac:dyDescent="0.3">
      <c r="A52" s="2" t="s">
        <v>286</v>
      </c>
      <c r="B52" s="2" t="s">
        <v>287</v>
      </c>
      <c r="C52" s="2" t="s">
        <v>288</v>
      </c>
      <c r="D52" s="2" t="s">
        <v>289</v>
      </c>
      <c r="E52" s="2" t="s">
        <v>290</v>
      </c>
      <c r="F52" s="2" t="s">
        <v>291</v>
      </c>
      <c r="G52" s="7">
        <v>89000</v>
      </c>
      <c r="H52" s="2" t="s">
        <v>14</v>
      </c>
      <c r="I52" s="3">
        <f t="shared" si="0"/>
        <v>89000</v>
      </c>
    </row>
    <row r="53" spans="1:9" x14ac:dyDescent="0.3">
      <c r="A53" s="2" t="s">
        <v>292</v>
      </c>
      <c r="B53" s="2" t="s">
        <v>293</v>
      </c>
      <c r="C53" s="2" t="s">
        <v>44</v>
      </c>
      <c r="D53" s="2" t="s">
        <v>294</v>
      </c>
      <c r="E53" s="2" t="s">
        <v>295</v>
      </c>
      <c r="F53" s="2" t="s">
        <v>296</v>
      </c>
      <c r="G53" s="7">
        <v>68000</v>
      </c>
      <c r="H53" s="2" t="s">
        <v>100</v>
      </c>
      <c r="I53" s="3">
        <f t="shared" si="0"/>
        <v>68000</v>
      </c>
    </row>
    <row r="54" spans="1:9" x14ac:dyDescent="0.3">
      <c r="A54" s="2" t="s">
        <v>297</v>
      </c>
      <c r="B54" s="2" t="s">
        <v>298</v>
      </c>
      <c r="C54" s="2" t="s">
        <v>160</v>
      </c>
      <c r="D54" s="2" t="s">
        <v>299</v>
      </c>
      <c r="E54" s="2" t="s">
        <v>300</v>
      </c>
      <c r="F54" s="2" t="s">
        <v>301</v>
      </c>
      <c r="G54" s="7">
        <v>108000</v>
      </c>
      <c r="H54" s="2" t="s">
        <v>21</v>
      </c>
      <c r="I54" s="3">
        <f t="shared" si="0"/>
        <v>108000</v>
      </c>
    </row>
    <row r="55" spans="1:9" x14ac:dyDescent="0.3">
      <c r="A55" s="2" t="s">
        <v>302</v>
      </c>
      <c r="B55" s="2" t="s">
        <v>90</v>
      </c>
      <c r="C55" s="2" t="s">
        <v>144</v>
      </c>
      <c r="D55" s="2" t="s">
        <v>303</v>
      </c>
      <c r="E55" s="2" t="s">
        <v>304</v>
      </c>
      <c r="F55" s="2" t="s">
        <v>305</v>
      </c>
      <c r="G55" s="7">
        <v>54000</v>
      </c>
      <c r="H55" s="2" t="s">
        <v>129</v>
      </c>
      <c r="I55" s="3">
        <f t="shared" si="0"/>
        <v>54000</v>
      </c>
    </row>
    <row r="56" spans="1:9" x14ac:dyDescent="0.3">
      <c r="A56" s="2" t="s">
        <v>306</v>
      </c>
      <c r="B56" s="2" t="s">
        <v>307</v>
      </c>
      <c r="C56" s="2" t="s">
        <v>288</v>
      </c>
      <c r="D56" s="2" t="s">
        <v>308</v>
      </c>
      <c r="E56" s="2" t="s">
        <v>309</v>
      </c>
      <c r="F56" s="2" t="s">
        <v>310</v>
      </c>
      <c r="G56" s="7">
        <v>40000</v>
      </c>
      <c r="H56" s="2" t="s">
        <v>35</v>
      </c>
      <c r="I56" s="3">
        <f t="shared" si="0"/>
        <v>40000</v>
      </c>
    </row>
    <row r="57" spans="1:9" x14ac:dyDescent="0.3">
      <c r="A57" s="2" t="s">
        <v>311</v>
      </c>
      <c r="B57" s="2" t="s">
        <v>312</v>
      </c>
      <c r="C57" s="2" t="s">
        <v>96</v>
      </c>
      <c r="D57" s="2" t="s">
        <v>313</v>
      </c>
      <c r="E57" s="2" t="s">
        <v>314</v>
      </c>
      <c r="F57" s="2" t="s">
        <v>315</v>
      </c>
      <c r="G57" s="7">
        <v>56000</v>
      </c>
      <c r="H57" s="2" t="s">
        <v>28</v>
      </c>
      <c r="I57" s="3">
        <f t="shared" si="0"/>
        <v>56000</v>
      </c>
    </row>
    <row r="58" spans="1:9" x14ac:dyDescent="0.3">
      <c r="A58" s="2" t="s">
        <v>316</v>
      </c>
      <c r="B58" s="2" t="s">
        <v>317</v>
      </c>
      <c r="C58" s="2" t="s">
        <v>318</v>
      </c>
      <c r="D58" s="2" t="s">
        <v>319</v>
      </c>
      <c r="E58" s="2" t="s">
        <v>320</v>
      </c>
      <c r="F58" s="2" t="s">
        <v>321</v>
      </c>
      <c r="G58" s="7">
        <v>94000</v>
      </c>
      <c r="H58" s="2" t="s">
        <v>65</v>
      </c>
      <c r="I58" s="3">
        <f t="shared" si="0"/>
        <v>94000</v>
      </c>
    </row>
    <row r="59" spans="1:9" x14ac:dyDescent="0.3">
      <c r="A59" s="2" t="s">
        <v>322</v>
      </c>
      <c r="B59" s="2" t="s">
        <v>323</v>
      </c>
      <c r="C59" s="2" t="s">
        <v>24</v>
      </c>
      <c r="D59" s="2" t="s">
        <v>324</v>
      </c>
      <c r="E59" s="2" t="s">
        <v>325</v>
      </c>
      <c r="F59" s="2" t="s">
        <v>326</v>
      </c>
      <c r="G59" s="7">
        <v>83000</v>
      </c>
      <c r="H59" s="2" t="s">
        <v>14</v>
      </c>
      <c r="I59" s="3">
        <f t="shared" si="0"/>
        <v>83000</v>
      </c>
    </row>
    <row r="60" spans="1:9" x14ac:dyDescent="0.3">
      <c r="A60" s="2" t="s">
        <v>327</v>
      </c>
      <c r="B60" s="2" t="s">
        <v>328</v>
      </c>
      <c r="C60" s="2" t="s">
        <v>120</v>
      </c>
      <c r="D60" s="2" t="s">
        <v>329</v>
      </c>
      <c r="E60" s="2" t="s">
        <v>330</v>
      </c>
      <c r="F60" s="2" t="s">
        <v>331</v>
      </c>
      <c r="G60" s="7">
        <v>54000</v>
      </c>
      <c r="H60" s="2" t="s">
        <v>82</v>
      </c>
      <c r="I60" s="3">
        <f t="shared" si="0"/>
        <v>54000</v>
      </c>
    </row>
    <row r="61" spans="1:9" x14ac:dyDescent="0.3">
      <c r="A61" s="2" t="s">
        <v>332</v>
      </c>
      <c r="B61" s="2" t="s">
        <v>333</v>
      </c>
      <c r="C61" s="2" t="s">
        <v>171</v>
      </c>
      <c r="D61" s="2" t="s">
        <v>334</v>
      </c>
      <c r="E61" s="2" t="s">
        <v>335</v>
      </c>
      <c r="F61" s="2" t="s">
        <v>336</v>
      </c>
      <c r="G61" s="7">
        <v>102000</v>
      </c>
      <c r="H61" s="2" t="s">
        <v>65</v>
      </c>
      <c r="I61" s="3">
        <f t="shared" si="0"/>
        <v>102000</v>
      </c>
    </row>
    <row r="62" spans="1:9" x14ac:dyDescent="0.3">
      <c r="A62" s="2" t="s">
        <v>337</v>
      </c>
      <c r="B62" s="2" t="s">
        <v>338</v>
      </c>
      <c r="C62" s="2" t="s">
        <v>85</v>
      </c>
      <c r="D62" s="2" t="s">
        <v>339</v>
      </c>
      <c r="E62" s="2" t="s">
        <v>340</v>
      </c>
      <c r="F62" s="2" t="s">
        <v>341</v>
      </c>
      <c r="G62" s="7">
        <v>59000</v>
      </c>
      <c r="H62" s="2" t="s">
        <v>82</v>
      </c>
      <c r="I62" s="3">
        <f t="shared" si="0"/>
        <v>59000</v>
      </c>
    </row>
    <row r="63" spans="1:9" x14ac:dyDescent="0.3">
      <c r="A63" s="2" t="s">
        <v>342</v>
      </c>
      <c r="B63" s="2" t="s">
        <v>343</v>
      </c>
      <c r="C63" s="2" t="s">
        <v>31</v>
      </c>
      <c r="D63" s="2" t="s">
        <v>344</v>
      </c>
      <c r="E63" s="2" t="s">
        <v>345</v>
      </c>
      <c r="F63" s="2" t="s">
        <v>346</v>
      </c>
      <c r="G63" s="7">
        <v>100000</v>
      </c>
      <c r="H63" s="2" t="s">
        <v>35</v>
      </c>
      <c r="I63" s="3">
        <f t="shared" si="0"/>
        <v>100000</v>
      </c>
    </row>
    <row r="64" spans="1:9" x14ac:dyDescent="0.3">
      <c r="A64" s="2" t="s">
        <v>347</v>
      </c>
      <c r="B64" s="2" t="s">
        <v>348</v>
      </c>
      <c r="C64" s="2" t="s">
        <v>144</v>
      </c>
      <c r="D64" s="2" t="s">
        <v>349</v>
      </c>
      <c r="E64" s="2" t="s">
        <v>350</v>
      </c>
      <c r="F64" s="2" t="s">
        <v>351</v>
      </c>
      <c r="G64" s="7">
        <v>98000</v>
      </c>
      <c r="H64" s="2" t="s">
        <v>65</v>
      </c>
      <c r="I64" s="3">
        <f t="shared" si="0"/>
        <v>98000</v>
      </c>
    </row>
    <row r="65" spans="1:9" x14ac:dyDescent="0.3">
      <c r="A65" s="2" t="s">
        <v>352</v>
      </c>
      <c r="B65" s="2" t="s">
        <v>353</v>
      </c>
      <c r="C65" s="2" t="s">
        <v>109</v>
      </c>
      <c r="D65" s="2" t="s">
        <v>354</v>
      </c>
      <c r="E65" s="2" t="s">
        <v>355</v>
      </c>
      <c r="F65" s="2" t="s">
        <v>356</v>
      </c>
      <c r="G65" s="7">
        <v>46000</v>
      </c>
      <c r="H65" s="2" t="s">
        <v>35</v>
      </c>
      <c r="I65" s="3">
        <f t="shared" si="0"/>
        <v>46000</v>
      </c>
    </row>
    <row r="66" spans="1:9" x14ac:dyDescent="0.3">
      <c r="A66" s="2" t="s">
        <v>357</v>
      </c>
      <c r="B66" s="2" t="s">
        <v>67</v>
      </c>
      <c r="C66" s="2" t="s">
        <v>78</v>
      </c>
      <c r="D66" s="2" t="s">
        <v>68</v>
      </c>
      <c r="E66" s="2" t="s">
        <v>358</v>
      </c>
      <c r="F66" s="2" t="s">
        <v>359</v>
      </c>
      <c r="G66" s="7">
        <v>81000</v>
      </c>
      <c r="H66" s="2" t="s">
        <v>129</v>
      </c>
      <c r="I66" s="3">
        <f t="shared" si="0"/>
        <v>81000</v>
      </c>
    </row>
    <row r="67" spans="1:9" x14ac:dyDescent="0.3">
      <c r="A67" s="2" t="s">
        <v>360</v>
      </c>
      <c r="B67" s="2" t="s">
        <v>361</v>
      </c>
      <c r="C67" s="2" t="s">
        <v>362</v>
      </c>
      <c r="D67" s="2" t="s">
        <v>363</v>
      </c>
      <c r="E67" s="2" t="s">
        <v>364</v>
      </c>
      <c r="F67" s="2" t="s">
        <v>365</v>
      </c>
      <c r="G67" s="7">
        <v>59000</v>
      </c>
      <c r="H67" s="2" t="s">
        <v>129</v>
      </c>
      <c r="I67" s="3">
        <f t="shared" ref="I67:I130" si="1">ROUND(G67,2)</f>
        <v>59000</v>
      </c>
    </row>
    <row r="68" spans="1:9" x14ac:dyDescent="0.3">
      <c r="A68" s="2" t="s">
        <v>366</v>
      </c>
      <c r="B68" s="2" t="s">
        <v>367</v>
      </c>
      <c r="C68" s="2" t="s">
        <v>192</v>
      </c>
      <c r="D68" s="2" t="s">
        <v>368</v>
      </c>
      <c r="E68" s="2" t="s">
        <v>369</v>
      </c>
      <c r="F68" s="2" t="s">
        <v>370</v>
      </c>
      <c r="G68" s="7">
        <v>48000</v>
      </c>
      <c r="H68" s="2" t="s">
        <v>14</v>
      </c>
      <c r="I68" s="3">
        <f t="shared" si="1"/>
        <v>48000</v>
      </c>
    </row>
    <row r="69" spans="1:9" x14ac:dyDescent="0.3">
      <c r="A69" s="2" t="s">
        <v>371</v>
      </c>
      <c r="B69" s="2" t="s">
        <v>372</v>
      </c>
      <c r="C69" s="2" t="s">
        <v>138</v>
      </c>
      <c r="D69" s="2" t="s">
        <v>373</v>
      </c>
      <c r="E69" s="2" t="s">
        <v>374</v>
      </c>
      <c r="F69" s="2" t="s">
        <v>375</v>
      </c>
      <c r="G69" s="7">
        <v>35000</v>
      </c>
      <c r="H69" s="2" t="s">
        <v>28</v>
      </c>
      <c r="I69" s="3">
        <f t="shared" si="1"/>
        <v>35000</v>
      </c>
    </row>
    <row r="70" spans="1:9" x14ac:dyDescent="0.3">
      <c r="A70" s="2" t="s">
        <v>376</v>
      </c>
      <c r="B70" s="2" t="s">
        <v>377</v>
      </c>
      <c r="C70" s="2" t="s">
        <v>318</v>
      </c>
      <c r="D70" s="2" t="s">
        <v>378</v>
      </c>
      <c r="E70" s="2" t="s">
        <v>379</v>
      </c>
      <c r="F70" s="2" t="s">
        <v>380</v>
      </c>
      <c r="G70" s="7">
        <v>77000</v>
      </c>
      <c r="H70" s="2" t="s">
        <v>28</v>
      </c>
      <c r="I70" s="3">
        <f t="shared" si="1"/>
        <v>77000</v>
      </c>
    </row>
    <row r="71" spans="1:9" x14ac:dyDescent="0.3">
      <c r="A71" s="2" t="s">
        <v>381</v>
      </c>
      <c r="B71" s="2" t="s">
        <v>382</v>
      </c>
      <c r="C71" s="2" t="s">
        <v>61</v>
      </c>
      <c r="D71" s="2" t="s">
        <v>383</v>
      </c>
      <c r="E71" s="2" t="s">
        <v>384</v>
      </c>
      <c r="F71" s="2" t="s">
        <v>385</v>
      </c>
      <c r="G71" s="7">
        <v>43000</v>
      </c>
      <c r="H71" s="2" t="s">
        <v>21</v>
      </c>
      <c r="I71" s="3">
        <f t="shared" si="1"/>
        <v>43000</v>
      </c>
    </row>
    <row r="72" spans="1:9" x14ac:dyDescent="0.3">
      <c r="A72" s="2" t="s">
        <v>386</v>
      </c>
      <c r="B72" s="2" t="s">
        <v>387</v>
      </c>
      <c r="C72" s="2" t="s">
        <v>144</v>
      </c>
      <c r="D72" s="2" t="s">
        <v>388</v>
      </c>
      <c r="E72" s="2" t="s">
        <v>389</v>
      </c>
      <c r="F72" s="2" t="s">
        <v>390</v>
      </c>
      <c r="G72" s="7">
        <v>115000</v>
      </c>
      <c r="H72" s="2" t="s">
        <v>21</v>
      </c>
      <c r="I72" s="3">
        <f t="shared" si="1"/>
        <v>115000</v>
      </c>
    </row>
    <row r="73" spans="1:9" x14ac:dyDescent="0.3">
      <c r="A73" s="2" t="s">
        <v>391</v>
      </c>
      <c r="B73" s="2" t="s">
        <v>392</v>
      </c>
      <c r="C73" s="2" t="s">
        <v>44</v>
      </c>
      <c r="D73" s="2" t="s">
        <v>393</v>
      </c>
      <c r="E73" s="2" t="s">
        <v>394</v>
      </c>
      <c r="F73" s="2" t="s">
        <v>395</v>
      </c>
      <c r="G73" s="7">
        <v>82000</v>
      </c>
      <c r="H73" s="2" t="s">
        <v>35</v>
      </c>
      <c r="I73" s="3">
        <f t="shared" si="1"/>
        <v>82000</v>
      </c>
    </row>
    <row r="74" spans="1:9" x14ac:dyDescent="0.3">
      <c r="A74" s="2" t="s">
        <v>396</v>
      </c>
      <c r="B74" s="2" t="s">
        <v>397</v>
      </c>
      <c r="C74" s="2" t="s">
        <v>171</v>
      </c>
      <c r="D74" s="2" t="s">
        <v>398</v>
      </c>
      <c r="E74" s="2" t="s">
        <v>399</v>
      </c>
      <c r="F74" s="2" t="s">
        <v>400</v>
      </c>
      <c r="G74" s="7">
        <v>29000</v>
      </c>
      <c r="H74" s="2" t="s">
        <v>21</v>
      </c>
      <c r="I74" s="3">
        <f t="shared" si="1"/>
        <v>29000</v>
      </c>
    </row>
    <row r="75" spans="1:9" x14ac:dyDescent="0.3">
      <c r="A75" s="2" t="s">
        <v>401</v>
      </c>
      <c r="B75" s="2" t="s">
        <v>402</v>
      </c>
      <c r="C75" s="2" t="s">
        <v>61</v>
      </c>
      <c r="D75" s="2" t="s">
        <v>403</v>
      </c>
      <c r="E75" s="2" t="s">
        <v>404</v>
      </c>
      <c r="F75" s="2" t="s">
        <v>405</v>
      </c>
      <c r="G75" s="7">
        <v>42000</v>
      </c>
      <c r="H75" s="2" t="s">
        <v>28</v>
      </c>
      <c r="I75" s="3">
        <f t="shared" si="1"/>
        <v>42000</v>
      </c>
    </row>
    <row r="76" spans="1:9" x14ac:dyDescent="0.3">
      <c r="A76" s="2" t="s">
        <v>406</v>
      </c>
      <c r="B76" s="2" t="s">
        <v>407</v>
      </c>
      <c r="C76" s="2" t="s">
        <v>192</v>
      </c>
      <c r="D76" s="2" t="s">
        <v>408</v>
      </c>
      <c r="E76" s="2" t="s">
        <v>409</v>
      </c>
      <c r="F76" s="2" t="s">
        <v>410</v>
      </c>
      <c r="G76" s="7">
        <v>102000</v>
      </c>
      <c r="H76" s="2" t="s">
        <v>129</v>
      </c>
      <c r="I76" s="3">
        <f t="shared" si="1"/>
        <v>102000</v>
      </c>
    </row>
    <row r="77" spans="1:9" x14ac:dyDescent="0.3">
      <c r="A77" s="2" t="s">
        <v>411</v>
      </c>
      <c r="B77" s="2" t="s">
        <v>412</v>
      </c>
      <c r="C77" s="2" t="s">
        <v>132</v>
      </c>
      <c r="D77" s="2" t="s">
        <v>413</v>
      </c>
      <c r="E77" s="2" t="s">
        <v>414</v>
      </c>
      <c r="F77" s="2" t="s">
        <v>415</v>
      </c>
      <c r="G77" s="7">
        <v>74000</v>
      </c>
      <c r="H77" s="2" t="s">
        <v>82</v>
      </c>
      <c r="I77" s="3">
        <f t="shared" si="1"/>
        <v>74000</v>
      </c>
    </row>
    <row r="78" spans="1:9" x14ac:dyDescent="0.3">
      <c r="A78" s="2" t="s">
        <v>416</v>
      </c>
      <c r="B78" s="2" t="s">
        <v>417</v>
      </c>
      <c r="C78" s="2" t="s">
        <v>61</v>
      </c>
      <c r="D78" s="2" t="s">
        <v>418</v>
      </c>
      <c r="E78" s="2" t="s">
        <v>419</v>
      </c>
      <c r="F78" s="2" t="s">
        <v>420</v>
      </c>
      <c r="G78" s="7">
        <v>59000</v>
      </c>
      <c r="H78" s="2" t="s">
        <v>14</v>
      </c>
      <c r="I78" s="3">
        <f t="shared" si="1"/>
        <v>59000</v>
      </c>
    </row>
    <row r="79" spans="1:9" x14ac:dyDescent="0.3">
      <c r="A79" s="2" t="s">
        <v>421</v>
      </c>
      <c r="B79" s="2" t="s">
        <v>422</v>
      </c>
      <c r="C79" s="2" t="s">
        <v>17</v>
      </c>
      <c r="D79" s="2" t="s">
        <v>423</v>
      </c>
      <c r="E79" s="2" t="s">
        <v>424</v>
      </c>
      <c r="F79" s="2" t="s">
        <v>425</v>
      </c>
      <c r="G79" s="7">
        <v>64000</v>
      </c>
      <c r="H79" s="2" t="s">
        <v>82</v>
      </c>
      <c r="I79" s="3">
        <f t="shared" si="1"/>
        <v>64000</v>
      </c>
    </row>
    <row r="80" spans="1:9" x14ac:dyDescent="0.3">
      <c r="A80" s="2" t="s">
        <v>426</v>
      </c>
      <c r="B80" s="2" t="s">
        <v>427</v>
      </c>
      <c r="C80" s="2" t="s">
        <v>362</v>
      </c>
      <c r="D80" s="2" t="s">
        <v>428</v>
      </c>
      <c r="E80" s="2" t="s">
        <v>429</v>
      </c>
      <c r="F80" s="2" t="s">
        <v>430</v>
      </c>
      <c r="G80" s="7">
        <v>84000</v>
      </c>
      <c r="H80" s="2" t="s">
        <v>14</v>
      </c>
      <c r="I80" s="3">
        <f t="shared" si="1"/>
        <v>84000</v>
      </c>
    </row>
    <row r="81" spans="1:9" x14ac:dyDescent="0.3">
      <c r="A81" s="2" t="s">
        <v>431</v>
      </c>
      <c r="B81" s="2" t="s">
        <v>432</v>
      </c>
      <c r="C81" s="2" t="s">
        <v>160</v>
      </c>
      <c r="D81" s="2" t="s">
        <v>433</v>
      </c>
      <c r="E81" s="2" t="s">
        <v>434</v>
      </c>
      <c r="F81" s="2" t="s">
        <v>435</v>
      </c>
      <c r="G81" s="7">
        <v>106000</v>
      </c>
      <c r="H81" s="2" t="s">
        <v>82</v>
      </c>
      <c r="I81" s="3">
        <f t="shared" si="1"/>
        <v>106000</v>
      </c>
    </row>
    <row r="82" spans="1:9" x14ac:dyDescent="0.3">
      <c r="A82" s="2" t="s">
        <v>436</v>
      </c>
      <c r="B82" s="2" t="s">
        <v>437</v>
      </c>
      <c r="C82" s="2" t="s">
        <v>10</v>
      </c>
      <c r="D82" s="2" t="s">
        <v>438</v>
      </c>
      <c r="E82" s="2" t="s">
        <v>439</v>
      </c>
      <c r="F82" s="2" t="s">
        <v>440</v>
      </c>
      <c r="G82" s="7">
        <v>55000</v>
      </c>
      <c r="H82" s="2" t="s">
        <v>14</v>
      </c>
      <c r="I82" s="3">
        <f t="shared" si="1"/>
        <v>55000</v>
      </c>
    </row>
    <row r="83" spans="1:9" x14ac:dyDescent="0.3">
      <c r="A83" s="2" t="s">
        <v>441</v>
      </c>
      <c r="B83" s="2" t="s">
        <v>442</v>
      </c>
      <c r="C83" s="2" t="s">
        <v>132</v>
      </c>
      <c r="D83" s="2" t="s">
        <v>443</v>
      </c>
      <c r="E83" s="2" t="s">
        <v>444</v>
      </c>
      <c r="F83" s="2" t="s">
        <v>445</v>
      </c>
      <c r="G83" s="7">
        <v>35000</v>
      </c>
      <c r="H83" s="2" t="s">
        <v>35</v>
      </c>
      <c r="I83" s="3">
        <f t="shared" si="1"/>
        <v>35000</v>
      </c>
    </row>
    <row r="84" spans="1:9" x14ac:dyDescent="0.3">
      <c r="A84" s="2" t="s">
        <v>446</v>
      </c>
      <c r="B84" s="2" t="s">
        <v>447</v>
      </c>
      <c r="C84" s="2" t="s">
        <v>55</v>
      </c>
      <c r="D84" s="2" t="s">
        <v>448</v>
      </c>
      <c r="E84" s="2" t="s">
        <v>449</v>
      </c>
      <c r="F84" s="2" t="s">
        <v>450</v>
      </c>
      <c r="G84" s="7">
        <v>106000</v>
      </c>
      <c r="H84" s="2" t="s">
        <v>82</v>
      </c>
      <c r="I84" s="3">
        <f t="shared" si="1"/>
        <v>106000</v>
      </c>
    </row>
    <row r="85" spans="1:9" x14ac:dyDescent="0.3">
      <c r="A85" s="2" t="s">
        <v>451</v>
      </c>
      <c r="B85" s="2" t="s">
        <v>452</v>
      </c>
      <c r="C85" s="2" t="s">
        <v>55</v>
      </c>
      <c r="D85" s="2" t="s">
        <v>453</v>
      </c>
      <c r="E85" s="2" t="s">
        <v>454</v>
      </c>
      <c r="F85" s="2" t="s">
        <v>455</v>
      </c>
      <c r="G85" s="7">
        <v>49000</v>
      </c>
      <c r="H85" s="2" t="s">
        <v>100</v>
      </c>
      <c r="I85" s="3">
        <f t="shared" si="1"/>
        <v>49000</v>
      </c>
    </row>
    <row r="86" spans="1:9" x14ac:dyDescent="0.3">
      <c r="A86" s="2" t="s">
        <v>456</v>
      </c>
      <c r="B86" s="2" t="s">
        <v>457</v>
      </c>
      <c r="C86" s="2" t="s">
        <v>362</v>
      </c>
      <c r="D86" s="2" t="s">
        <v>458</v>
      </c>
      <c r="E86" s="2" t="s">
        <v>459</v>
      </c>
      <c r="F86" s="2" t="s">
        <v>460</v>
      </c>
      <c r="G86" s="7">
        <v>41000</v>
      </c>
      <c r="H86" s="2" t="s">
        <v>21</v>
      </c>
      <c r="I86" s="3">
        <f t="shared" si="1"/>
        <v>41000</v>
      </c>
    </row>
    <row r="87" spans="1:9" x14ac:dyDescent="0.3">
      <c r="A87" s="2" t="s">
        <v>461</v>
      </c>
      <c r="B87" s="2" t="s">
        <v>462</v>
      </c>
      <c r="C87" s="2" t="s">
        <v>78</v>
      </c>
      <c r="D87" s="2" t="s">
        <v>463</v>
      </c>
      <c r="E87" s="2" t="s">
        <v>464</v>
      </c>
      <c r="F87" s="2" t="s">
        <v>465</v>
      </c>
      <c r="G87" s="7">
        <v>40000</v>
      </c>
      <c r="H87" s="2" t="s">
        <v>82</v>
      </c>
      <c r="I87" s="3">
        <f t="shared" si="1"/>
        <v>40000</v>
      </c>
    </row>
    <row r="88" spans="1:9" x14ac:dyDescent="0.3">
      <c r="A88" s="2" t="s">
        <v>466</v>
      </c>
      <c r="B88" s="2" t="s">
        <v>467</v>
      </c>
      <c r="C88" s="2" t="s">
        <v>120</v>
      </c>
      <c r="D88" s="2" t="s">
        <v>468</v>
      </c>
      <c r="E88" s="2" t="s">
        <v>469</v>
      </c>
      <c r="F88" s="2" t="s">
        <v>470</v>
      </c>
      <c r="G88" s="7">
        <v>35000</v>
      </c>
      <c r="H88" s="2" t="s">
        <v>82</v>
      </c>
      <c r="I88" s="3">
        <f t="shared" si="1"/>
        <v>35000</v>
      </c>
    </row>
    <row r="89" spans="1:9" x14ac:dyDescent="0.3">
      <c r="A89" s="2" t="s">
        <v>471</v>
      </c>
      <c r="B89" s="2" t="s">
        <v>472</v>
      </c>
      <c r="C89" s="2" t="s">
        <v>192</v>
      </c>
      <c r="D89" s="2" t="s">
        <v>473</v>
      </c>
      <c r="E89" s="2" t="s">
        <v>474</v>
      </c>
      <c r="F89" s="2" t="s">
        <v>475</v>
      </c>
      <c r="G89" s="7">
        <v>104000</v>
      </c>
      <c r="H89" s="2" t="s">
        <v>65</v>
      </c>
      <c r="I89" s="3">
        <f t="shared" si="1"/>
        <v>104000</v>
      </c>
    </row>
    <row r="90" spans="1:9" x14ac:dyDescent="0.3">
      <c r="A90" s="2" t="s">
        <v>476</v>
      </c>
      <c r="B90" s="2" t="s">
        <v>477</v>
      </c>
      <c r="C90" s="2" t="s">
        <v>120</v>
      </c>
      <c r="D90" s="2" t="s">
        <v>478</v>
      </c>
      <c r="E90" s="2" t="s">
        <v>479</v>
      </c>
      <c r="F90" s="2" t="s">
        <v>480</v>
      </c>
      <c r="G90" s="7">
        <v>118000</v>
      </c>
      <c r="H90" s="2" t="s">
        <v>65</v>
      </c>
      <c r="I90" s="3">
        <f t="shared" si="1"/>
        <v>118000</v>
      </c>
    </row>
    <row r="91" spans="1:9" x14ac:dyDescent="0.3">
      <c r="A91" s="2" t="s">
        <v>481</v>
      </c>
      <c r="B91" s="2" t="s">
        <v>482</v>
      </c>
      <c r="C91" s="2" t="s">
        <v>318</v>
      </c>
      <c r="D91" s="2" t="s">
        <v>483</v>
      </c>
      <c r="E91" s="2" t="s">
        <v>484</v>
      </c>
      <c r="F91" s="2" t="s">
        <v>485</v>
      </c>
      <c r="G91" s="7">
        <v>27000</v>
      </c>
      <c r="H91" s="2" t="s">
        <v>21</v>
      </c>
      <c r="I91" s="3">
        <f t="shared" si="1"/>
        <v>27000</v>
      </c>
    </row>
    <row r="92" spans="1:9" x14ac:dyDescent="0.3">
      <c r="A92" s="2" t="s">
        <v>486</v>
      </c>
      <c r="B92" s="2" t="s">
        <v>487</v>
      </c>
      <c r="C92" s="2" t="s">
        <v>85</v>
      </c>
      <c r="D92" s="2" t="s">
        <v>488</v>
      </c>
      <c r="E92" s="2" t="s">
        <v>489</v>
      </c>
      <c r="F92" s="2" t="s">
        <v>490</v>
      </c>
      <c r="G92" s="7">
        <v>56000</v>
      </c>
      <c r="H92" s="2" t="s">
        <v>65</v>
      </c>
      <c r="I92" s="3">
        <f t="shared" si="1"/>
        <v>56000</v>
      </c>
    </row>
    <row r="93" spans="1:9" x14ac:dyDescent="0.3">
      <c r="A93" s="2" t="s">
        <v>491</v>
      </c>
      <c r="B93" s="2" t="s">
        <v>492</v>
      </c>
      <c r="C93" s="2" t="s">
        <v>138</v>
      </c>
      <c r="D93" s="2" t="s">
        <v>493</v>
      </c>
      <c r="E93" s="2" t="s">
        <v>494</v>
      </c>
      <c r="F93" s="2" t="s">
        <v>495</v>
      </c>
      <c r="G93" s="7">
        <v>43000</v>
      </c>
      <c r="H93" s="2" t="s">
        <v>28</v>
      </c>
      <c r="I93" s="3">
        <f t="shared" si="1"/>
        <v>43000</v>
      </c>
    </row>
    <row r="94" spans="1:9" x14ac:dyDescent="0.3">
      <c r="A94" s="2" t="s">
        <v>496</v>
      </c>
      <c r="B94" s="2" t="s">
        <v>497</v>
      </c>
      <c r="C94" s="2" t="s">
        <v>144</v>
      </c>
      <c r="D94" s="2" t="s">
        <v>428</v>
      </c>
      <c r="E94" s="2" t="s">
        <v>498</v>
      </c>
      <c r="F94" s="2" t="s">
        <v>499</v>
      </c>
      <c r="G94" s="7">
        <v>85000</v>
      </c>
      <c r="H94" s="2" t="s">
        <v>65</v>
      </c>
      <c r="I94" s="3">
        <f t="shared" si="1"/>
        <v>85000</v>
      </c>
    </row>
    <row r="95" spans="1:9" x14ac:dyDescent="0.3">
      <c r="A95" s="2" t="s">
        <v>500</v>
      </c>
      <c r="B95" s="2" t="s">
        <v>501</v>
      </c>
      <c r="C95" s="2" t="s">
        <v>44</v>
      </c>
      <c r="D95" s="2" t="s">
        <v>502</v>
      </c>
      <c r="E95" s="2" t="s">
        <v>503</v>
      </c>
      <c r="F95" s="2" t="s">
        <v>504</v>
      </c>
      <c r="G95" s="7">
        <v>64000</v>
      </c>
      <c r="H95" s="2" t="s">
        <v>65</v>
      </c>
      <c r="I95" s="3">
        <f t="shared" si="1"/>
        <v>64000</v>
      </c>
    </row>
    <row r="96" spans="1:9" x14ac:dyDescent="0.3">
      <c r="A96" s="2" t="s">
        <v>505</v>
      </c>
      <c r="B96" s="2" t="s">
        <v>506</v>
      </c>
      <c r="C96" s="2" t="s">
        <v>120</v>
      </c>
      <c r="D96" s="2" t="s">
        <v>507</v>
      </c>
      <c r="E96" s="2" t="s">
        <v>508</v>
      </c>
      <c r="F96" s="2" t="s">
        <v>509</v>
      </c>
      <c r="G96" s="7">
        <v>35000</v>
      </c>
      <c r="H96" s="2" t="s">
        <v>129</v>
      </c>
      <c r="I96" s="3">
        <f t="shared" si="1"/>
        <v>35000</v>
      </c>
    </row>
    <row r="97" spans="1:9" x14ac:dyDescent="0.3">
      <c r="A97" s="2" t="s">
        <v>510</v>
      </c>
      <c r="B97" s="2" t="s">
        <v>511</v>
      </c>
      <c r="C97" s="2" t="s">
        <v>138</v>
      </c>
      <c r="D97" s="2" t="s">
        <v>512</v>
      </c>
      <c r="E97" s="2" t="s">
        <v>513</v>
      </c>
      <c r="F97" s="2" t="s">
        <v>514</v>
      </c>
      <c r="G97" s="7">
        <v>51000</v>
      </c>
      <c r="H97" s="2" t="s">
        <v>35</v>
      </c>
      <c r="I97" s="3">
        <f t="shared" si="1"/>
        <v>51000</v>
      </c>
    </row>
    <row r="98" spans="1:9" x14ac:dyDescent="0.3">
      <c r="A98" s="2" t="s">
        <v>515</v>
      </c>
      <c r="B98" s="2" t="s">
        <v>516</v>
      </c>
      <c r="C98" s="2" t="s">
        <v>138</v>
      </c>
      <c r="D98" s="2" t="s">
        <v>517</v>
      </c>
      <c r="E98" s="2" t="s">
        <v>518</v>
      </c>
      <c r="F98" s="2" t="s">
        <v>519</v>
      </c>
      <c r="G98" s="7">
        <v>62000</v>
      </c>
      <c r="H98" s="2" t="s">
        <v>82</v>
      </c>
      <c r="I98" s="3">
        <f t="shared" si="1"/>
        <v>62000</v>
      </c>
    </row>
    <row r="99" spans="1:9" x14ac:dyDescent="0.3">
      <c r="A99" s="2" t="s">
        <v>520</v>
      </c>
      <c r="B99" s="2" t="s">
        <v>521</v>
      </c>
      <c r="C99" s="2" t="s">
        <v>96</v>
      </c>
      <c r="D99" s="2" t="s">
        <v>522</v>
      </c>
      <c r="E99" s="2" t="s">
        <v>523</v>
      </c>
      <c r="F99" s="2" t="s">
        <v>524</v>
      </c>
      <c r="G99" s="7">
        <v>37000</v>
      </c>
      <c r="H99" s="2" t="s">
        <v>65</v>
      </c>
      <c r="I99" s="3">
        <f t="shared" si="1"/>
        <v>37000</v>
      </c>
    </row>
    <row r="100" spans="1:9" x14ac:dyDescent="0.3">
      <c r="A100" s="2" t="s">
        <v>525</v>
      </c>
      <c r="B100" s="2" t="s">
        <v>526</v>
      </c>
      <c r="C100" s="2" t="s">
        <v>318</v>
      </c>
      <c r="D100" s="2" t="s">
        <v>527</v>
      </c>
      <c r="E100" s="2" t="s">
        <v>528</v>
      </c>
      <c r="F100" s="2" t="s">
        <v>529</v>
      </c>
      <c r="G100" s="7">
        <v>41000</v>
      </c>
      <c r="H100" s="2" t="s">
        <v>65</v>
      </c>
      <c r="I100" s="3">
        <f t="shared" si="1"/>
        <v>41000</v>
      </c>
    </row>
    <row r="101" spans="1:9" x14ac:dyDescent="0.3">
      <c r="A101" s="2" t="s">
        <v>530</v>
      </c>
      <c r="B101" s="2" t="s">
        <v>531</v>
      </c>
      <c r="C101" s="2" t="s">
        <v>362</v>
      </c>
      <c r="D101" s="2" t="s">
        <v>532</v>
      </c>
      <c r="E101" s="2" t="s">
        <v>533</v>
      </c>
      <c r="F101" s="2" t="s">
        <v>534</v>
      </c>
      <c r="G101" s="7">
        <v>54000</v>
      </c>
      <c r="H101" s="2" t="s">
        <v>21</v>
      </c>
      <c r="I101" s="3">
        <f t="shared" si="1"/>
        <v>54000</v>
      </c>
    </row>
    <row r="102" spans="1:9" x14ac:dyDescent="0.3">
      <c r="A102" s="2" t="s">
        <v>535</v>
      </c>
      <c r="B102" s="2" t="s">
        <v>536</v>
      </c>
      <c r="C102" s="2" t="s">
        <v>38</v>
      </c>
      <c r="D102" s="2" t="s">
        <v>537</v>
      </c>
      <c r="E102" s="2" t="s">
        <v>538</v>
      </c>
      <c r="F102" s="2" t="s">
        <v>539</v>
      </c>
      <c r="G102" s="7">
        <v>25000</v>
      </c>
      <c r="H102" s="2" t="s">
        <v>129</v>
      </c>
      <c r="I102" s="3">
        <f t="shared" si="1"/>
        <v>25000</v>
      </c>
    </row>
    <row r="103" spans="1:9" x14ac:dyDescent="0.3">
      <c r="A103" s="2" t="s">
        <v>540</v>
      </c>
      <c r="B103" s="2" t="s">
        <v>541</v>
      </c>
      <c r="C103" s="2" t="s">
        <v>31</v>
      </c>
      <c r="D103" s="2" t="s">
        <v>542</v>
      </c>
      <c r="E103" s="2" t="s">
        <v>543</v>
      </c>
      <c r="F103" s="2" t="s">
        <v>544</v>
      </c>
      <c r="G103" s="7">
        <v>65000</v>
      </c>
      <c r="H103" s="2" t="s">
        <v>35</v>
      </c>
      <c r="I103" s="3">
        <f t="shared" si="1"/>
        <v>65000</v>
      </c>
    </row>
    <row r="104" spans="1:9" x14ac:dyDescent="0.3">
      <c r="A104" s="2" t="s">
        <v>545</v>
      </c>
      <c r="B104" s="2" t="s">
        <v>546</v>
      </c>
      <c r="C104" s="2" t="s">
        <v>78</v>
      </c>
      <c r="D104" s="2" t="s">
        <v>547</v>
      </c>
      <c r="E104" s="2" t="s">
        <v>548</v>
      </c>
      <c r="F104" s="2" t="s">
        <v>549</v>
      </c>
      <c r="G104" s="7">
        <v>118000</v>
      </c>
      <c r="H104" s="2" t="s">
        <v>35</v>
      </c>
      <c r="I104" s="3">
        <f t="shared" si="1"/>
        <v>118000</v>
      </c>
    </row>
    <row r="105" spans="1:9" x14ac:dyDescent="0.3">
      <c r="A105" s="2" t="s">
        <v>550</v>
      </c>
      <c r="B105" s="2" t="s">
        <v>551</v>
      </c>
      <c r="C105" s="2" t="s">
        <v>17</v>
      </c>
      <c r="D105" s="2" t="s">
        <v>552</v>
      </c>
      <c r="E105" s="2" t="s">
        <v>553</v>
      </c>
      <c r="F105" s="2" t="s">
        <v>554</v>
      </c>
      <c r="G105" s="7">
        <v>92000</v>
      </c>
      <c r="H105" s="2" t="s">
        <v>28</v>
      </c>
      <c r="I105" s="3">
        <f t="shared" si="1"/>
        <v>92000</v>
      </c>
    </row>
    <row r="106" spans="1:9" x14ac:dyDescent="0.3">
      <c r="A106" s="2" t="s">
        <v>555</v>
      </c>
      <c r="B106" s="2" t="s">
        <v>556</v>
      </c>
      <c r="C106" s="2" t="s">
        <v>160</v>
      </c>
      <c r="D106" s="2" t="s">
        <v>557</v>
      </c>
      <c r="E106" s="2" t="s">
        <v>558</v>
      </c>
      <c r="F106" s="2" t="s">
        <v>559</v>
      </c>
      <c r="G106" s="7">
        <v>40000</v>
      </c>
      <c r="H106" s="2" t="s">
        <v>21</v>
      </c>
      <c r="I106" s="3">
        <f t="shared" si="1"/>
        <v>40000</v>
      </c>
    </row>
    <row r="107" spans="1:9" x14ac:dyDescent="0.3">
      <c r="A107" s="2" t="s">
        <v>560</v>
      </c>
      <c r="B107" s="2" t="s">
        <v>561</v>
      </c>
      <c r="C107" s="2" t="s">
        <v>31</v>
      </c>
      <c r="D107" s="2" t="s">
        <v>562</v>
      </c>
      <c r="E107" s="2" t="s">
        <v>563</v>
      </c>
      <c r="F107" s="2" t="s">
        <v>564</v>
      </c>
      <c r="G107" s="7">
        <v>33000</v>
      </c>
      <c r="H107" s="2" t="s">
        <v>35</v>
      </c>
      <c r="I107" s="3">
        <f t="shared" si="1"/>
        <v>33000</v>
      </c>
    </row>
    <row r="108" spans="1:9" x14ac:dyDescent="0.3">
      <c r="A108" s="2" t="s">
        <v>565</v>
      </c>
      <c r="B108" s="2" t="s">
        <v>566</v>
      </c>
      <c r="C108" s="2" t="s">
        <v>31</v>
      </c>
      <c r="D108" s="2" t="s">
        <v>567</v>
      </c>
      <c r="E108" s="2" t="s">
        <v>568</v>
      </c>
      <c r="F108" s="2" t="s">
        <v>569</v>
      </c>
      <c r="G108" s="7">
        <v>41000</v>
      </c>
      <c r="H108" s="2" t="s">
        <v>100</v>
      </c>
      <c r="I108" s="3">
        <f t="shared" si="1"/>
        <v>41000</v>
      </c>
    </row>
    <row r="109" spans="1:9" x14ac:dyDescent="0.3">
      <c r="A109" s="2" t="s">
        <v>570</v>
      </c>
      <c r="B109" s="2" t="s">
        <v>571</v>
      </c>
      <c r="C109" s="2" t="s">
        <v>31</v>
      </c>
      <c r="D109" s="2" t="s">
        <v>572</v>
      </c>
      <c r="E109" s="2" t="s">
        <v>573</v>
      </c>
      <c r="F109" s="2" t="s">
        <v>574</v>
      </c>
      <c r="G109" s="7">
        <v>108000</v>
      </c>
      <c r="H109" s="2" t="s">
        <v>28</v>
      </c>
      <c r="I109" s="3">
        <f t="shared" si="1"/>
        <v>108000</v>
      </c>
    </row>
    <row r="110" spans="1:9" x14ac:dyDescent="0.3">
      <c r="A110" s="2" t="s">
        <v>575</v>
      </c>
      <c r="B110" s="2" t="s">
        <v>576</v>
      </c>
      <c r="C110" s="2" t="s">
        <v>24</v>
      </c>
      <c r="D110" s="2" t="s">
        <v>577</v>
      </c>
      <c r="E110" s="2" t="s">
        <v>578</v>
      </c>
      <c r="F110" s="2" t="s">
        <v>579</v>
      </c>
      <c r="G110" s="7">
        <v>56000</v>
      </c>
      <c r="H110" s="2" t="s">
        <v>82</v>
      </c>
      <c r="I110" s="3">
        <f t="shared" si="1"/>
        <v>56000</v>
      </c>
    </row>
    <row r="111" spans="1:9" x14ac:dyDescent="0.3">
      <c r="A111" s="2" t="s">
        <v>580</v>
      </c>
      <c r="B111" s="2" t="s">
        <v>581</v>
      </c>
      <c r="C111" s="2" t="s">
        <v>138</v>
      </c>
      <c r="D111" s="2" t="s">
        <v>582</v>
      </c>
      <c r="E111" s="2" t="s">
        <v>583</v>
      </c>
      <c r="F111" s="2" t="s">
        <v>584</v>
      </c>
      <c r="G111" s="7">
        <v>93000</v>
      </c>
      <c r="H111" s="2" t="s">
        <v>129</v>
      </c>
      <c r="I111" s="3">
        <f t="shared" si="1"/>
        <v>93000</v>
      </c>
    </row>
    <row r="112" spans="1:9" x14ac:dyDescent="0.3">
      <c r="A112" s="2" t="s">
        <v>585</v>
      </c>
      <c r="B112" s="2" t="s">
        <v>586</v>
      </c>
      <c r="C112" s="2" t="s">
        <v>55</v>
      </c>
      <c r="D112" s="2" t="s">
        <v>587</v>
      </c>
      <c r="E112" s="2" t="s">
        <v>588</v>
      </c>
      <c r="F112" s="2" t="s">
        <v>589</v>
      </c>
      <c r="G112" s="7">
        <v>67000</v>
      </c>
      <c r="H112" s="2" t="s">
        <v>82</v>
      </c>
      <c r="I112" s="3">
        <f t="shared" si="1"/>
        <v>67000</v>
      </c>
    </row>
    <row r="113" spans="1:9" x14ac:dyDescent="0.3">
      <c r="A113" s="2" t="s">
        <v>590</v>
      </c>
      <c r="B113" s="2" t="s">
        <v>591</v>
      </c>
      <c r="C113" s="2" t="s">
        <v>120</v>
      </c>
      <c r="D113" s="2" t="s">
        <v>592</v>
      </c>
      <c r="E113" s="2" t="s">
        <v>593</v>
      </c>
      <c r="F113" s="2" t="s">
        <v>594</v>
      </c>
      <c r="G113" s="7">
        <v>32000</v>
      </c>
      <c r="H113" s="2" t="s">
        <v>82</v>
      </c>
      <c r="I113" s="3">
        <f t="shared" si="1"/>
        <v>32000</v>
      </c>
    </row>
    <row r="114" spans="1:9" x14ac:dyDescent="0.3">
      <c r="A114" s="2" t="s">
        <v>595</v>
      </c>
      <c r="B114" s="2" t="s">
        <v>596</v>
      </c>
      <c r="C114" s="2" t="s">
        <v>85</v>
      </c>
      <c r="D114" s="2" t="s">
        <v>597</v>
      </c>
      <c r="E114" s="2" t="s">
        <v>598</v>
      </c>
      <c r="F114" s="2" t="s">
        <v>599</v>
      </c>
      <c r="G114" s="7">
        <v>106000</v>
      </c>
      <c r="H114" s="2" t="s">
        <v>35</v>
      </c>
      <c r="I114" s="3">
        <f t="shared" si="1"/>
        <v>106000</v>
      </c>
    </row>
    <row r="115" spans="1:9" x14ac:dyDescent="0.3">
      <c r="A115" s="2" t="s">
        <v>600</v>
      </c>
      <c r="B115" s="2" t="s">
        <v>601</v>
      </c>
      <c r="C115" s="2" t="s">
        <v>160</v>
      </c>
      <c r="D115" s="2" t="s">
        <v>602</v>
      </c>
      <c r="E115" s="2" t="s">
        <v>603</v>
      </c>
      <c r="F115" s="2" t="s">
        <v>604</v>
      </c>
      <c r="G115" s="7">
        <v>34000</v>
      </c>
      <c r="H115" s="2" t="s">
        <v>21</v>
      </c>
      <c r="I115" s="3">
        <f t="shared" si="1"/>
        <v>34000</v>
      </c>
    </row>
    <row r="116" spans="1:9" x14ac:dyDescent="0.3">
      <c r="A116" s="2" t="s">
        <v>605</v>
      </c>
      <c r="B116" s="2" t="s">
        <v>606</v>
      </c>
      <c r="C116" s="2" t="s">
        <v>109</v>
      </c>
      <c r="D116" s="2" t="s">
        <v>607</v>
      </c>
      <c r="E116" s="2" t="s">
        <v>608</v>
      </c>
      <c r="F116" s="2" t="s">
        <v>609</v>
      </c>
      <c r="G116" s="7">
        <v>33000</v>
      </c>
      <c r="H116" s="2" t="s">
        <v>82</v>
      </c>
      <c r="I116" s="3">
        <f t="shared" si="1"/>
        <v>33000</v>
      </c>
    </row>
    <row r="117" spans="1:9" x14ac:dyDescent="0.3">
      <c r="A117" s="2" t="s">
        <v>610</v>
      </c>
      <c r="B117" s="2" t="s">
        <v>611</v>
      </c>
      <c r="C117" s="2" t="s">
        <v>171</v>
      </c>
      <c r="D117" s="2" t="s">
        <v>612</v>
      </c>
      <c r="E117" s="2" t="s">
        <v>613</v>
      </c>
      <c r="F117" s="2" t="s">
        <v>614</v>
      </c>
      <c r="G117" s="7">
        <v>113000</v>
      </c>
      <c r="H117" s="2" t="s">
        <v>100</v>
      </c>
      <c r="I117" s="3">
        <f t="shared" si="1"/>
        <v>113000</v>
      </c>
    </row>
    <row r="118" spans="1:9" x14ac:dyDescent="0.3">
      <c r="A118" s="2" t="s">
        <v>615</v>
      </c>
      <c r="B118" s="2" t="s">
        <v>616</v>
      </c>
      <c r="C118" s="2" t="s">
        <v>318</v>
      </c>
      <c r="D118" s="2" t="s">
        <v>617</v>
      </c>
      <c r="E118" s="2" t="s">
        <v>618</v>
      </c>
      <c r="F118" s="2" t="s">
        <v>619</v>
      </c>
      <c r="G118" s="7">
        <v>60000</v>
      </c>
      <c r="H118" s="2" t="s">
        <v>65</v>
      </c>
      <c r="I118" s="3">
        <f t="shared" si="1"/>
        <v>60000</v>
      </c>
    </row>
    <row r="119" spans="1:9" x14ac:dyDescent="0.3">
      <c r="A119" s="2" t="s">
        <v>620</v>
      </c>
      <c r="B119" s="2" t="s">
        <v>621</v>
      </c>
      <c r="C119" s="2" t="s">
        <v>103</v>
      </c>
      <c r="D119" s="2" t="s">
        <v>622</v>
      </c>
      <c r="E119" s="2" t="s">
        <v>623</v>
      </c>
      <c r="F119" s="2" t="s">
        <v>624</v>
      </c>
      <c r="G119" s="7">
        <v>116000</v>
      </c>
      <c r="H119" s="2" t="s">
        <v>28</v>
      </c>
      <c r="I119" s="3">
        <f t="shared" si="1"/>
        <v>116000</v>
      </c>
    </row>
    <row r="120" spans="1:9" x14ac:dyDescent="0.3">
      <c r="A120" s="2" t="s">
        <v>625</v>
      </c>
      <c r="B120" s="2" t="s">
        <v>626</v>
      </c>
      <c r="C120" s="2" t="s">
        <v>103</v>
      </c>
      <c r="D120" s="2" t="s">
        <v>627</v>
      </c>
      <c r="E120" s="2" t="s">
        <v>628</v>
      </c>
      <c r="F120" s="2" t="s">
        <v>629</v>
      </c>
      <c r="G120" s="7">
        <v>53000</v>
      </c>
      <c r="H120" s="2" t="s">
        <v>129</v>
      </c>
      <c r="I120" s="3">
        <f t="shared" si="1"/>
        <v>53000</v>
      </c>
    </row>
    <row r="121" spans="1:9" x14ac:dyDescent="0.3">
      <c r="A121" s="2" t="s">
        <v>630</v>
      </c>
      <c r="B121" s="2" t="s">
        <v>631</v>
      </c>
      <c r="C121" s="2" t="s">
        <v>31</v>
      </c>
      <c r="D121" s="2" t="s">
        <v>632</v>
      </c>
      <c r="E121" s="2" t="s">
        <v>633</v>
      </c>
      <c r="F121" s="2" t="s">
        <v>634</v>
      </c>
      <c r="G121" s="7">
        <v>63000</v>
      </c>
      <c r="H121" s="2" t="s">
        <v>129</v>
      </c>
      <c r="I121" s="3">
        <f t="shared" si="1"/>
        <v>63000</v>
      </c>
    </row>
    <row r="122" spans="1:9" x14ac:dyDescent="0.3">
      <c r="A122" s="2" t="s">
        <v>635</v>
      </c>
      <c r="B122" s="2" t="s">
        <v>636</v>
      </c>
      <c r="C122" s="2" t="s">
        <v>17</v>
      </c>
      <c r="D122" s="2" t="s">
        <v>637</v>
      </c>
      <c r="E122" s="2" t="s">
        <v>638</v>
      </c>
      <c r="F122" s="2" t="s">
        <v>639</v>
      </c>
      <c r="G122" s="7">
        <v>25000</v>
      </c>
      <c r="H122" s="2" t="s">
        <v>14</v>
      </c>
      <c r="I122" s="3">
        <f t="shared" si="1"/>
        <v>25000</v>
      </c>
    </row>
    <row r="123" spans="1:9" x14ac:dyDescent="0.3">
      <c r="A123" s="2" t="s">
        <v>640</v>
      </c>
      <c r="B123" s="2" t="s">
        <v>641</v>
      </c>
      <c r="C123" s="2" t="s">
        <v>55</v>
      </c>
      <c r="D123" s="2" t="s">
        <v>642</v>
      </c>
      <c r="E123" s="2" t="s">
        <v>643</v>
      </c>
      <c r="F123" s="2" t="s">
        <v>644</v>
      </c>
      <c r="G123" s="7">
        <v>71000</v>
      </c>
      <c r="H123" s="2" t="s">
        <v>65</v>
      </c>
      <c r="I123" s="3">
        <f t="shared" si="1"/>
        <v>71000</v>
      </c>
    </row>
    <row r="124" spans="1:9" x14ac:dyDescent="0.3">
      <c r="A124" s="2" t="s">
        <v>645</v>
      </c>
      <c r="B124" s="2" t="s">
        <v>646</v>
      </c>
      <c r="C124" s="2" t="s">
        <v>10</v>
      </c>
      <c r="D124" s="2" t="s">
        <v>647</v>
      </c>
      <c r="E124" s="2" t="s">
        <v>648</v>
      </c>
      <c r="F124" s="2" t="s">
        <v>649</v>
      </c>
      <c r="G124" s="7">
        <v>52000</v>
      </c>
      <c r="H124" s="2" t="s">
        <v>82</v>
      </c>
      <c r="I124" s="3">
        <f t="shared" si="1"/>
        <v>52000</v>
      </c>
    </row>
    <row r="125" spans="1:9" x14ac:dyDescent="0.3">
      <c r="A125" s="2" t="s">
        <v>650</v>
      </c>
      <c r="B125" s="2" t="s">
        <v>606</v>
      </c>
      <c r="C125" s="2" t="s">
        <v>31</v>
      </c>
      <c r="D125" s="2" t="s">
        <v>651</v>
      </c>
      <c r="E125" s="2" t="s">
        <v>652</v>
      </c>
      <c r="F125" s="2" t="s">
        <v>653</v>
      </c>
      <c r="G125" s="7">
        <v>98000</v>
      </c>
      <c r="H125" s="2" t="s">
        <v>21</v>
      </c>
      <c r="I125" s="3">
        <f t="shared" si="1"/>
        <v>98000</v>
      </c>
    </row>
    <row r="126" spans="1:9" x14ac:dyDescent="0.3">
      <c r="A126" s="2" t="s">
        <v>654</v>
      </c>
      <c r="B126" s="2" t="s">
        <v>655</v>
      </c>
      <c r="C126" s="2" t="s">
        <v>109</v>
      </c>
      <c r="D126" s="2" t="s">
        <v>656</v>
      </c>
      <c r="E126" s="2" t="s">
        <v>657</v>
      </c>
      <c r="F126" s="2" t="s">
        <v>658</v>
      </c>
      <c r="G126" s="7">
        <v>116000</v>
      </c>
      <c r="H126" s="2" t="s">
        <v>82</v>
      </c>
      <c r="I126" s="3">
        <f t="shared" si="1"/>
        <v>116000</v>
      </c>
    </row>
    <row r="127" spans="1:9" x14ac:dyDescent="0.3">
      <c r="A127" s="2" t="s">
        <v>659</v>
      </c>
      <c r="B127" s="2" t="s">
        <v>660</v>
      </c>
      <c r="C127" s="2" t="s">
        <v>222</v>
      </c>
      <c r="D127" s="2" t="s">
        <v>661</v>
      </c>
      <c r="E127" s="2" t="s">
        <v>662</v>
      </c>
      <c r="F127" s="2" t="s">
        <v>663</v>
      </c>
      <c r="G127" s="7">
        <v>49000</v>
      </c>
      <c r="H127" s="2" t="s">
        <v>35</v>
      </c>
      <c r="I127" s="3">
        <f t="shared" si="1"/>
        <v>49000</v>
      </c>
    </row>
    <row r="128" spans="1:9" x14ac:dyDescent="0.3">
      <c r="A128" s="2" t="s">
        <v>664</v>
      </c>
      <c r="B128" s="2" t="s">
        <v>165</v>
      </c>
      <c r="C128" s="2" t="s">
        <v>10</v>
      </c>
      <c r="D128" s="2" t="s">
        <v>665</v>
      </c>
      <c r="E128" s="2" t="s">
        <v>666</v>
      </c>
      <c r="F128" s="2" t="s">
        <v>667</v>
      </c>
      <c r="G128" s="7">
        <v>31000</v>
      </c>
      <c r="H128" s="2" t="s">
        <v>129</v>
      </c>
      <c r="I128" s="3">
        <f t="shared" si="1"/>
        <v>31000</v>
      </c>
    </row>
    <row r="129" spans="1:9" x14ac:dyDescent="0.3">
      <c r="A129" s="2" t="s">
        <v>668</v>
      </c>
      <c r="B129" s="2" t="s">
        <v>669</v>
      </c>
      <c r="C129" s="2" t="s">
        <v>109</v>
      </c>
      <c r="D129" s="2" t="s">
        <v>670</v>
      </c>
      <c r="E129" s="2" t="s">
        <v>671</v>
      </c>
      <c r="F129" s="2" t="s">
        <v>672</v>
      </c>
      <c r="G129" s="7">
        <v>70000</v>
      </c>
      <c r="H129" s="2" t="s">
        <v>100</v>
      </c>
      <c r="I129" s="3">
        <f t="shared" si="1"/>
        <v>70000</v>
      </c>
    </row>
    <row r="130" spans="1:9" x14ac:dyDescent="0.3">
      <c r="A130" s="2" t="s">
        <v>673</v>
      </c>
      <c r="B130" s="2" t="s">
        <v>674</v>
      </c>
      <c r="C130" s="2" t="s">
        <v>192</v>
      </c>
      <c r="D130" s="2" t="s">
        <v>675</v>
      </c>
      <c r="E130" s="2" t="s">
        <v>676</v>
      </c>
      <c r="F130" s="2" t="s">
        <v>677</v>
      </c>
      <c r="G130" s="7">
        <v>105000</v>
      </c>
      <c r="H130" s="2" t="s">
        <v>100</v>
      </c>
      <c r="I130" s="3">
        <f t="shared" si="1"/>
        <v>105000</v>
      </c>
    </row>
    <row r="131" spans="1:9" x14ac:dyDescent="0.3">
      <c r="A131" s="2" t="s">
        <v>678</v>
      </c>
      <c r="B131" s="2" t="s">
        <v>679</v>
      </c>
      <c r="C131" s="2" t="s">
        <v>132</v>
      </c>
      <c r="D131" s="2" t="s">
        <v>680</v>
      </c>
      <c r="E131" s="2" t="s">
        <v>681</v>
      </c>
      <c r="F131" s="2" t="s">
        <v>682</v>
      </c>
      <c r="G131" s="7">
        <v>55000</v>
      </c>
      <c r="H131" s="2" t="s">
        <v>35</v>
      </c>
      <c r="I131" s="3">
        <f t="shared" ref="I131:I194" si="2">ROUND(G131,2)</f>
        <v>55000</v>
      </c>
    </row>
    <row r="132" spans="1:9" x14ac:dyDescent="0.3">
      <c r="A132" s="2" t="s">
        <v>683</v>
      </c>
      <c r="B132" s="2" t="s">
        <v>684</v>
      </c>
      <c r="C132" s="2" t="s">
        <v>132</v>
      </c>
      <c r="D132" s="2" t="s">
        <v>685</v>
      </c>
      <c r="E132" s="2" t="s">
        <v>686</v>
      </c>
      <c r="F132" s="2" t="s">
        <v>687</v>
      </c>
      <c r="G132" s="7">
        <v>54000</v>
      </c>
      <c r="H132" s="2" t="s">
        <v>14</v>
      </c>
      <c r="I132" s="3">
        <f t="shared" si="2"/>
        <v>54000</v>
      </c>
    </row>
    <row r="133" spans="1:9" x14ac:dyDescent="0.3">
      <c r="A133" s="2" t="s">
        <v>688</v>
      </c>
      <c r="B133" s="2" t="s">
        <v>689</v>
      </c>
      <c r="C133" s="2" t="s">
        <v>222</v>
      </c>
      <c r="D133" s="2" t="s">
        <v>690</v>
      </c>
      <c r="E133" s="2" t="s">
        <v>691</v>
      </c>
      <c r="F133" s="2" t="s">
        <v>692</v>
      </c>
      <c r="G133" s="7">
        <v>87000</v>
      </c>
      <c r="H133" s="2" t="s">
        <v>14</v>
      </c>
      <c r="I133" s="3">
        <f t="shared" si="2"/>
        <v>87000</v>
      </c>
    </row>
    <row r="134" spans="1:9" x14ac:dyDescent="0.3">
      <c r="A134" s="2" t="s">
        <v>693</v>
      </c>
      <c r="B134" s="2" t="s">
        <v>694</v>
      </c>
      <c r="C134" s="2" t="s">
        <v>55</v>
      </c>
      <c r="D134" s="2" t="s">
        <v>695</v>
      </c>
      <c r="E134" s="2" t="s">
        <v>696</v>
      </c>
      <c r="F134" s="2" t="s">
        <v>280</v>
      </c>
      <c r="G134" s="7">
        <v>86000</v>
      </c>
      <c r="H134" s="2" t="s">
        <v>65</v>
      </c>
      <c r="I134" s="3">
        <f t="shared" si="2"/>
        <v>86000</v>
      </c>
    </row>
    <row r="135" spans="1:9" x14ac:dyDescent="0.3">
      <c r="A135" s="2" t="s">
        <v>697</v>
      </c>
      <c r="B135" s="2" t="s">
        <v>698</v>
      </c>
      <c r="C135" s="2" t="s">
        <v>222</v>
      </c>
      <c r="D135" s="2" t="s">
        <v>699</v>
      </c>
      <c r="E135" s="2" t="s">
        <v>700</v>
      </c>
      <c r="F135" s="2" t="s">
        <v>701</v>
      </c>
      <c r="G135" s="7">
        <v>55000</v>
      </c>
      <c r="H135" s="2" t="s">
        <v>82</v>
      </c>
      <c r="I135" s="3">
        <f t="shared" si="2"/>
        <v>55000</v>
      </c>
    </row>
    <row r="136" spans="1:9" x14ac:dyDescent="0.3">
      <c r="A136" s="2" t="s">
        <v>702</v>
      </c>
      <c r="B136" s="2" t="s">
        <v>703</v>
      </c>
      <c r="C136" s="2" t="s">
        <v>318</v>
      </c>
      <c r="D136" s="2" t="s">
        <v>704</v>
      </c>
      <c r="E136" s="2" t="s">
        <v>705</v>
      </c>
      <c r="F136" s="2" t="s">
        <v>706</v>
      </c>
      <c r="G136" s="7">
        <v>64000</v>
      </c>
      <c r="H136" s="2" t="s">
        <v>14</v>
      </c>
      <c r="I136" s="3">
        <f t="shared" si="2"/>
        <v>64000</v>
      </c>
    </row>
    <row r="137" spans="1:9" x14ac:dyDescent="0.3">
      <c r="A137" s="2" t="s">
        <v>707</v>
      </c>
      <c r="B137" s="2" t="s">
        <v>708</v>
      </c>
      <c r="C137" s="2" t="s">
        <v>44</v>
      </c>
      <c r="D137" s="2" t="s">
        <v>709</v>
      </c>
      <c r="E137" s="2" t="s">
        <v>710</v>
      </c>
      <c r="F137" s="2" t="s">
        <v>711</v>
      </c>
      <c r="G137" s="7">
        <v>116000</v>
      </c>
      <c r="H137" s="2" t="s">
        <v>28</v>
      </c>
      <c r="I137" s="3">
        <f t="shared" si="2"/>
        <v>116000</v>
      </c>
    </row>
    <row r="138" spans="1:9" x14ac:dyDescent="0.3">
      <c r="A138" s="2" t="s">
        <v>712</v>
      </c>
      <c r="B138" s="2" t="s">
        <v>713</v>
      </c>
      <c r="C138" s="2" t="s">
        <v>17</v>
      </c>
      <c r="D138" s="2" t="s">
        <v>714</v>
      </c>
      <c r="E138" s="2" t="s">
        <v>715</v>
      </c>
      <c r="F138" s="2" t="s">
        <v>716</v>
      </c>
      <c r="G138" s="7">
        <v>81000</v>
      </c>
      <c r="H138" s="2" t="s">
        <v>21</v>
      </c>
      <c r="I138" s="3">
        <f t="shared" si="2"/>
        <v>81000</v>
      </c>
    </row>
    <row r="139" spans="1:9" x14ac:dyDescent="0.3">
      <c r="A139" s="2" t="s">
        <v>717</v>
      </c>
      <c r="B139" s="2" t="s">
        <v>718</v>
      </c>
      <c r="C139" s="2" t="s">
        <v>288</v>
      </c>
      <c r="D139" s="2" t="s">
        <v>719</v>
      </c>
      <c r="E139" s="2" t="s">
        <v>720</v>
      </c>
      <c r="F139" s="2" t="s">
        <v>721</v>
      </c>
      <c r="G139" s="7">
        <v>53000</v>
      </c>
      <c r="H139" s="2" t="s">
        <v>35</v>
      </c>
      <c r="I139" s="3">
        <f t="shared" si="2"/>
        <v>53000</v>
      </c>
    </row>
    <row r="140" spans="1:9" x14ac:dyDescent="0.3">
      <c r="A140" s="2" t="s">
        <v>722</v>
      </c>
      <c r="B140" s="2" t="s">
        <v>497</v>
      </c>
      <c r="C140" s="2" t="s">
        <v>288</v>
      </c>
      <c r="D140" s="2" t="s">
        <v>723</v>
      </c>
      <c r="E140" s="2" t="s">
        <v>724</v>
      </c>
      <c r="F140" s="2" t="s">
        <v>725</v>
      </c>
      <c r="G140" s="7">
        <v>91000</v>
      </c>
      <c r="H140" s="2" t="s">
        <v>14</v>
      </c>
      <c r="I140" s="3">
        <f t="shared" si="2"/>
        <v>91000</v>
      </c>
    </row>
    <row r="141" spans="1:9" x14ac:dyDescent="0.3">
      <c r="A141" s="2" t="s">
        <v>726</v>
      </c>
      <c r="B141" s="2" t="s">
        <v>727</v>
      </c>
      <c r="C141" s="2" t="s">
        <v>222</v>
      </c>
      <c r="D141" s="2" t="s">
        <v>728</v>
      </c>
      <c r="E141" s="2" t="s">
        <v>729</v>
      </c>
      <c r="F141" s="2" t="s">
        <v>730</v>
      </c>
      <c r="G141" s="7">
        <v>56000</v>
      </c>
      <c r="H141" s="2" t="s">
        <v>14</v>
      </c>
      <c r="I141" s="3">
        <f t="shared" si="2"/>
        <v>56000</v>
      </c>
    </row>
    <row r="142" spans="1:9" x14ac:dyDescent="0.3">
      <c r="A142" s="2" t="s">
        <v>731</v>
      </c>
      <c r="B142" s="2" t="s">
        <v>732</v>
      </c>
      <c r="C142" s="2" t="s">
        <v>24</v>
      </c>
      <c r="D142" s="2" t="s">
        <v>733</v>
      </c>
      <c r="E142" s="2" t="s">
        <v>734</v>
      </c>
      <c r="F142" s="2" t="s">
        <v>735</v>
      </c>
      <c r="G142" s="7">
        <v>60000</v>
      </c>
      <c r="H142" s="2" t="s">
        <v>82</v>
      </c>
      <c r="I142" s="3">
        <f t="shared" si="2"/>
        <v>60000</v>
      </c>
    </row>
    <row r="143" spans="1:9" x14ac:dyDescent="0.3">
      <c r="A143" s="2" t="s">
        <v>736</v>
      </c>
      <c r="B143" s="2" t="s">
        <v>737</v>
      </c>
      <c r="C143" s="2" t="s">
        <v>38</v>
      </c>
      <c r="D143" s="2" t="s">
        <v>738</v>
      </c>
      <c r="E143" s="2" t="s">
        <v>739</v>
      </c>
      <c r="F143" s="2" t="s">
        <v>740</v>
      </c>
      <c r="G143" s="7">
        <v>71000</v>
      </c>
      <c r="H143" s="2" t="s">
        <v>100</v>
      </c>
      <c r="I143" s="3">
        <f t="shared" si="2"/>
        <v>71000</v>
      </c>
    </row>
    <row r="144" spans="1:9" x14ac:dyDescent="0.3">
      <c r="A144" s="2" t="s">
        <v>741</v>
      </c>
      <c r="B144" s="2" t="s">
        <v>742</v>
      </c>
      <c r="C144" s="2" t="s">
        <v>38</v>
      </c>
      <c r="D144" s="2" t="s">
        <v>743</v>
      </c>
      <c r="E144" s="2" t="s">
        <v>744</v>
      </c>
      <c r="F144" s="2" t="s">
        <v>745</v>
      </c>
      <c r="G144" s="7">
        <v>48000</v>
      </c>
      <c r="H144" s="2" t="s">
        <v>35</v>
      </c>
      <c r="I144" s="3">
        <f t="shared" si="2"/>
        <v>48000</v>
      </c>
    </row>
    <row r="145" spans="1:9" x14ac:dyDescent="0.3">
      <c r="A145" s="2" t="s">
        <v>746</v>
      </c>
      <c r="B145" s="2" t="s">
        <v>747</v>
      </c>
      <c r="C145" s="2" t="s">
        <v>17</v>
      </c>
      <c r="D145" s="2" t="s">
        <v>748</v>
      </c>
      <c r="E145" s="2" t="s">
        <v>749</v>
      </c>
      <c r="F145" s="2" t="s">
        <v>750</v>
      </c>
      <c r="G145" s="7">
        <v>52000</v>
      </c>
      <c r="H145" s="2" t="s">
        <v>65</v>
      </c>
      <c r="I145" s="3">
        <f t="shared" si="2"/>
        <v>52000</v>
      </c>
    </row>
    <row r="146" spans="1:9" x14ac:dyDescent="0.3">
      <c r="A146" s="2" t="s">
        <v>751</v>
      </c>
      <c r="B146" s="2" t="s">
        <v>752</v>
      </c>
      <c r="C146" s="2" t="s">
        <v>132</v>
      </c>
      <c r="D146" s="2" t="s">
        <v>753</v>
      </c>
      <c r="E146" s="2" t="s">
        <v>754</v>
      </c>
      <c r="F146" s="2" t="s">
        <v>395</v>
      </c>
      <c r="G146" s="7">
        <v>73000</v>
      </c>
      <c r="H146" s="2" t="s">
        <v>21</v>
      </c>
      <c r="I146" s="3">
        <f t="shared" si="2"/>
        <v>73000</v>
      </c>
    </row>
    <row r="147" spans="1:9" x14ac:dyDescent="0.3">
      <c r="A147" s="2" t="s">
        <v>755</v>
      </c>
      <c r="B147" s="2" t="s">
        <v>756</v>
      </c>
      <c r="C147" s="2" t="s">
        <v>96</v>
      </c>
      <c r="D147" s="2" t="s">
        <v>757</v>
      </c>
      <c r="E147" s="2" t="s">
        <v>758</v>
      </c>
      <c r="F147" s="2" t="s">
        <v>759</v>
      </c>
      <c r="G147" s="7">
        <v>56000</v>
      </c>
      <c r="H147" s="2" t="s">
        <v>21</v>
      </c>
      <c r="I147" s="3">
        <f t="shared" si="2"/>
        <v>56000</v>
      </c>
    </row>
    <row r="148" spans="1:9" x14ac:dyDescent="0.3">
      <c r="A148" s="2" t="s">
        <v>760</v>
      </c>
      <c r="B148" s="2" t="s">
        <v>761</v>
      </c>
      <c r="C148" s="2" t="s">
        <v>85</v>
      </c>
      <c r="D148" s="2" t="s">
        <v>762</v>
      </c>
      <c r="E148" s="2" t="s">
        <v>763</v>
      </c>
      <c r="F148" s="2" t="s">
        <v>764</v>
      </c>
      <c r="G148" s="7">
        <v>98000</v>
      </c>
      <c r="H148" s="2" t="s">
        <v>28</v>
      </c>
      <c r="I148" s="3">
        <f t="shared" si="2"/>
        <v>98000</v>
      </c>
    </row>
    <row r="149" spans="1:9" x14ac:dyDescent="0.3">
      <c r="A149" s="2" t="s">
        <v>765</v>
      </c>
      <c r="B149" s="2" t="s">
        <v>766</v>
      </c>
      <c r="C149" s="2" t="s">
        <v>85</v>
      </c>
      <c r="D149" s="2" t="s">
        <v>767</v>
      </c>
      <c r="E149" s="2" t="s">
        <v>768</v>
      </c>
      <c r="F149" s="2" t="s">
        <v>769</v>
      </c>
      <c r="G149" s="7">
        <v>75000</v>
      </c>
      <c r="H149" s="2" t="s">
        <v>28</v>
      </c>
      <c r="I149" s="3">
        <f t="shared" si="2"/>
        <v>75000</v>
      </c>
    </row>
    <row r="150" spans="1:9" x14ac:dyDescent="0.3">
      <c r="A150" s="2" t="s">
        <v>770</v>
      </c>
      <c r="B150" s="2" t="s">
        <v>771</v>
      </c>
      <c r="C150" s="2" t="s">
        <v>17</v>
      </c>
      <c r="D150" s="2" t="s">
        <v>772</v>
      </c>
      <c r="E150" s="2" t="s">
        <v>773</v>
      </c>
      <c r="F150" s="2" t="s">
        <v>774</v>
      </c>
      <c r="G150" s="7">
        <v>53000</v>
      </c>
      <c r="H150" s="2" t="s">
        <v>129</v>
      </c>
      <c r="I150" s="3">
        <f t="shared" si="2"/>
        <v>53000</v>
      </c>
    </row>
    <row r="151" spans="1:9" x14ac:dyDescent="0.3">
      <c r="A151" s="2" t="s">
        <v>775</v>
      </c>
      <c r="B151" s="2" t="s">
        <v>776</v>
      </c>
      <c r="C151" s="2" t="s">
        <v>31</v>
      </c>
      <c r="D151" s="2" t="s">
        <v>777</v>
      </c>
      <c r="E151" s="2" t="s">
        <v>778</v>
      </c>
      <c r="F151" s="2" t="s">
        <v>779</v>
      </c>
      <c r="G151" s="7">
        <v>56000</v>
      </c>
      <c r="H151" s="2" t="s">
        <v>82</v>
      </c>
      <c r="I151" s="3">
        <f t="shared" si="2"/>
        <v>56000</v>
      </c>
    </row>
    <row r="152" spans="1:9" x14ac:dyDescent="0.3">
      <c r="A152" s="2" t="s">
        <v>780</v>
      </c>
      <c r="B152" s="2" t="s">
        <v>781</v>
      </c>
      <c r="C152" s="2" t="s">
        <v>138</v>
      </c>
      <c r="D152" s="2" t="s">
        <v>782</v>
      </c>
      <c r="E152" s="2" t="s">
        <v>783</v>
      </c>
      <c r="F152" s="2" t="s">
        <v>784</v>
      </c>
      <c r="G152" s="7">
        <v>49000</v>
      </c>
      <c r="H152" s="2" t="s">
        <v>35</v>
      </c>
      <c r="I152" s="3">
        <f t="shared" si="2"/>
        <v>49000</v>
      </c>
    </row>
    <row r="153" spans="1:9" x14ac:dyDescent="0.3">
      <c r="A153" s="2" t="s">
        <v>785</v>
      </c>
      <c r="B153" s="2" t="s">
        <v>786</v>
      </c>
      <c r="C153" s="2" t="s">
        <v>24</v>
      </c>
      <c r="D153" s="2" t="s">
        <v>787</v>
      </c>
      <c r="E153" s="2" t="s">
        <v>788</v>
      </c>
      <c r="F153" s="2" t="s">
        <v>789</v>
      </c>
      <c r="G153" s="7">
        <v>46000</v>
      </c>
      <c r="H153" s="2" t="s">
        <v>35</v>
      </c>
      <c r="I153" s="3">
        <f t="shared" si="2"/>
        <v>46000</v>
      </c>
    </row>
    <row r="154" spans="1:9" x14ac:dyDescent="0.3">
      <c r="A154" s="2" t="s">
        <v>790</v>
      </c>
      <c r="B154" s="2" t="s">
        <v>791</v>
      </c>
      <c r="C154" s="2" t="s">
        <v>192</v>
      </c>
      <c r="D154" s="2" t="s">
        <v>792</v>
      </c>
      <c r="E154" s="2" t="s">
        <v>793</v>
      </c>
      <c r="F154" s="2" t="s">
        <v>794</v>
      </c>
      <c r="G154" s="7">
        <v>56000</v>
      </c>
      <c r="H154" s="2" t="s">
        <v>65</v>
      </c>
      <c r="I154" s="3">
        <f t="shared" si="2"/>
        <v>56000</v>
      </c>
    </row>
    <row r="155" spans="1:9" x14ac:dyDescent="0.3">
      <c r="A155" s="2" t="s">
        <v>795</v>
      </c>
      <c r="B155" s="2" t="s">
        <v>796</v>
      </c>
      <c r="C155" s="2" t="s">
        <v>160</v>
      </c>
      <c r="D155" s="2" t="s">
        <v>797</v>
      </c>
      <c r="E155" s="2" t="s">
        <v>798</v>
      </c>
      <c r="F155" s="2" t="s">
        <v>799</v>
      </c>
      <c r="G155" s="7">
        <v>28000</v>
      </c>
      <c r="H155" s="2" t="s">
        <v>100</v>
      </c>
      <c r="I155" s="3">
        <f t="shared" si="2"/>
        <v>28000</v>
      </c>
    </row>
    <row r="156" spans="1:9" x14ac:dyDescent="0.3">
      <c r="A156" s="2" t="s">
        <v>800</v>
      </c>
      <c r="B156" s="2" t="s">
        <v>801</v>
      </c>
      <c r="C156" s="2" t="s">
        <v>160</v>
      </c>
      <c r="D156" s="2" t="s">
        <v>802</v>
      </c>
      <c r="E156" s="2" t="s">
        <v>803</v>
      </c>
      <c r="F156" s="2" t="s">
        <v>804</v>
      </c>
      <c r="G156" s="7">
        <v>107000</v>
      </c>
      <c r="H156" s="2" t="s">
        <v>129</v>
      </c>
      <c r="I156" s="3">
        <f t="shared" si="2"/>
        <v>107000</v>
      </c>
    </row>
    <row r="157" spans="1:9" x14ac:dyDescent="0.3">
      <c r="A157" s="2" t="s">
        <v>805</v>
      </c>
      <c r="B157" s="2" t="s">
        <v>806</v>
      </c>
      <c r="C157" s="2" t="s">
        <v>132</v>
      </c>
      <c r="D157" s="2" t="s">
        <v>807</v>
      </c>
      <c r="E157" s="2" t="s">
        <v>808</v>
      </c>
      <c r="F157" s="2" t="s">
        <v>809</v>
      </c>
      <c r="G157" s="7">
        <v>60000</v>
      </c>
      <c r="H157" s="2" t="s">
        <v>82</v>
      </c>
      <c r="I157" s="3">
        <f t="shared" si="2"/>
        <v>60000</v>
      </c>
    </row>
    <row r="158" spans="1:9" x14ac:dyDescent="0.3">
      <c r="A158" s="2" t="s">
        <v>810</v>
      </c>
      <c r="B158" s="2" t="s">
        <v>811</v>
      </c>
      <c r="C158" s="2" t="s">
        <v>96</v>
      </c>
      <c r="D158" s="2" t="s">
        <v>812</v>
      </c>
      <c r="E158" s="2" t="s">
        <v>813</v>
      </c>
      <c r="F158" s="2" t="s">
        <v>814</v>
      </c>
      <c r="G158" s="7">
        <v>29000</v>
      </c>
      <c r="H158" s="2" t="s">
        <v>21</v>
      </c>
      <c r="I158" s="3">
        <f t="shared" si="2"/>
        <v>29000</v>
      </c>
    </row>
    <row r="159" spans="1:9" x14ac:dyDescent="0.3">
      <c r="A159" s="2" t="s">
        <v>815</v>
      </c>
      <c r="B159" s="2" t="s">
        <v>816</v>
      </c>
      <c r="C159" s="2" t="s">
        <v>144</v>
      </c>
      <c r="D159" s="2" t="s">
        <v>817</v>
      </c>
      <c r="E159" s="2" t="s">
        <v>818</v>
      </c>
      <c r="F159" s="2" t="s">
        <v>819</v>
      </c>
      <c r="G159" s="7">
        <v>109000</v>
      </c>
      <c r="H159" s="2" t="s">
        <v>65</v>
      </c>
      <c r="I159" s="3">
        <f t="shared" si="2"/>
        <v>109000</v>
      </c>
    </row>
    <row r="160" spans="1:9" x14ac:dyDescent="0.3">
      <c r="A160" s="2" t="s">
        <v>820</v>
      </c>
      <c r="B160" s="2" t="s">
        <v>821</v>
      </c>
      <c r="C160" s="2" t="s">
        <v>288</v>
      </c>
      <c r="D160" s="2" t="s">
        <v>822</v>
      </c>
      <c r="E160" s="2" t="s">
        <v>823</v>
      </c>
      <c r="F160" s="2" t="s">
        <v>824</v>
      </c>
      <c r="G160" s="7">
        <v>84000</v>
      </c>
      <c r="H160" s="2" t="s">
        <v>14</v>
      </c>
      <c r="I160" s="3">
        <f t="shared" si="2"/>
        <v>84000</v>
      </c>
    </row>
    <row r="161" spans="1:9" x14ac:dyDescent="0.3">
      <c r="A161" s="2" t="s">
        <v>825</v>
      </c>
      <c r="B161" s="2" t="s">
        <v>186</v>
      </c>
      <c r="C161" s="2" t="s">
        <v>44</v>
      </c>
      <c r="D161" s="2" t="s">
        <v>826</v>
      </c>
      <c r="E161" s="2" t="s">
        <v>827</v>
      </c>
      <c r="F161" s="2" t="s">
        <v>828</v>
      </c>
      <c r="G161" s="7">
        <v>60000</v>
      </c>
      <c r="H161" s="2" t="s">
        <v>65</v>
      </c>
      <c r="I161" s="3">
        <f t="shared" si="2"/>
        <v>60000</v>
      </c>
    </row>
    <row r="162" spans="1:9" x14ac:dyDescent="0.3">
      <c r="A162" s="2" t="s">
        <v>829</v>
      </c>
      <c r="B162" s="2" t="s">
        <v>830</v>
      </c>
      <c r="C162" s="2" t="s">
        <v>85</v>
      </c>
      <c r="D162" s="2" t="s">
        <v>831</v>
      </c>
      <c r="E162" s="2" t="s">
        <v>832</v>
      </c>
      <c r="F162" s="2" t="s">
        <v>833</v>
      </c>
      <c r="G162" s="7">
        <v>38000</v>
      </c>
      <c r="H162" s="2" t="s">
        <v>65</v>
      </c>
      <c r="I162" s="3">
        <f t="shared" si="2"/>
        <v>38000</v>
      </c>
    </row>
    <row r="163" spans="1:9" x14ac:dyDescent="0.3">
      <c r="A163" s="2" t="s">
        <v>834</v>
      </c>
      <c r="B163" s="2" t="s">
        <v>835</v>
      </c>
      <c r="C163" s="2" t="s">
        <v>55</v>
      </c>
      <c r="D163" s="2" t="s">
        <v>836</v>
      </c>
      <c r="E163" s="2" t="s">
        <v>837</v>
      </c>
      <c r="F163" s="2" t="s">
        <v>838</v>
      </c>
      <c r="G163" s="7">
        <v>69000</v>
      </c>
      <c r="H163" s="2" t="s">
        <v>65</v>
      </c>
      <c r="I163" s="3">
        <f t="shared" si="2"/>
        <v>69000</v>
      </c>
    </row>
    <row r="164" spans="1:9" x14ac:dyDescent="0.3">
      <c r="A164" s="2" t="s">
        <v>839</v>
      </c>
      <c r="B164" s="2" t="s">
        <v>840</v>
      </c>
      <c r="C164" s="2" t="s">
        <v>132</v>
      </c>
      <c r="D164" s="2" t="s">
        <v>841</v>
      </c>
      <c r="E164" s="2" t="s">
        <v>842</v>
      </c>
      <c r="F164" s="2" t="s">
        <v>843</v>
      </c>
      <c r="G164" s="7">
        <v>110000</v>
      </c>
      <c r="H164" s="2" t="s">
        <v>100</v>
      </c>
      <c r="I164" s="3">
        <f t="shared" si="2"/>
        <v>110000</v>
      </c>
    </row>
    <row r="165" spans="1:9" x14ac:dyDescent="0.3">
      <c r="A165" s="2" t="s">
        <v>844</v>
      </c>
      <c r="B165" s="2" t="s">
        <v>845</v>
      </c>
      <c r="C165" s="2" t="s">
        <v>222</v>
      </c>
      <c r="D165" s="2" t="s">
        <v>846</v>
      </c>
      <c r="E165" s="2" t="s">
        <v>847</v>
      </c>
      <c r="F165" s="2" t="s">
        <v>848</v>
      </c>
      <c r="G165" s="7">
        <v>76000</v>
      </c>
      <c r="H165" s="2" t="s">
        <v>82</v>
      </c>
      <c r="I165" s="3">
        <f t="shared" si="2"/>
        <v>76000</v>
      </c>
    </row>
    <row r="166" spans="1:9" x14ac:dyDescent="0.3">
      <c r="A166" s="2" t="s">
        <v>849</v>
      </c>
      <c r="B166" s="2" t="s">
        <v>850</v>
      </c>
      <c r="C166" s="2" t="s">
        <v>138</v>
      </c>
      <c r="D166" s="2" t="s">
        <v>851</v>
      </c>
      <c r="E166" s="2" t="s">
        <v>852</v>
      </c>
      <c r="F166" s="2" t="s">
        <v>853</v>
      </c>
      <c r="G166" s="7">
        <v>87000</v>
      </c>
      <c r="H166" s="2" t="s">
        <v>35</v>
      </c>
      <c r="I166" s="3">
        <f t="shared" si="2"/>
        <v>87000</v>
      </c>
    </row>
    <row r="167" spans="1:9" x14ac:dyDescent="0.3">
      <c r="A167" s="2" t="s">
        <v>854</v>
      </c>
      <c r="B167" s="2" t="s">
        <v>312</v>
      </c>
      <c r="C167" s="2" t="s">
        <v>96</v>
      </c>
      <c r="D167" s="2" t="s">
        <v>855</v>
      </c>
      <c r="E167" s="2" t="s">
        <v>856</v>
      </c>
      <c r="F167" s="2" t="s">
        <v>857</v>
      </c>
      <c r="G167" s="7">
        <v>107000</v>
      </c>
      <c r="H167" s="2" t="s">
        <v>28</v>
      </c>
      <c r="I167" s="3">
        <f t="shared" si="2"/>
        <v>107000</v>
      </c>
    </row>
    <row r="168" spans="1:9" x14ac:dyDescent="0.3">
      <c r="A168" s="2" t="s">
        <v>858</v>
      </c>
      <c r="B168" s="2" t="s">
        <v>859</v>
      </c>
      <c r="C168" s="2" t="s">
        <v>38</v>
      </c>
      <c r="D168" s="2" t="s">
        <v>860</v>
      </c>
      <c r="E168" s="2" t="s">
        <v>861</v>
      </c>
      <c r="F168" s="2" t="s">
        <v>862</v>
      </c>
      <c r="G168" s="7">
        <v>66000</v>
      </c>
      <c r="H168" s="2" t="s">
        <v>82</v>
      </c>
      <c r="I168" s="3">
        <f t="shared" si="2"/>
        <v>66000</v>
      </c>
    </row>
    <row r="169" spans="1:9" x14ac:dyDescent="0.3">
      <c r="A169" s="2" t="s">
        <v>863</v>
      </c>
      <c r="B169" s="2" t="s">
        <v>864</v>
      </c>
      <c r="C169" s="2" t="s">
        <v>192</v>
      </c>
      <c r="D169" s="2" t="s">
        <v>865</v>
      </c>
      <c r="E169" s="2" t="s">
        <v>866</v>
      </c>
      <c r="F169" s="2" t="s">
        <v>867</v>
      </c>
      <c r="G169" s="7">
        <v>82000</v>
      </c>
      <c r="H169" s="2" t="s">
        <v>82</v>
      </c>
      <c r="I169" s="3">
        <f t="shared" si="2"/>
        <v>82000</v>
      </c>
    </row>
    <row r="170" spans="1:9" x14ac:dyDescent="0.3">
      <c r="A170" s="2" t="s">
        <v>868</v>
      </c>
      <c r="B170" s="2" t="s">
        <v>869</v>
      </c>
      <c r="C170" s="2" t="s">
        <v>109</v>
      </c>
      <c r="D170" s="2" t="s">
        <v>870</v>
      </c>
      <c r="E170" s="2" t="s">
        <v>871</v>
      </c>
      <c r="F170" s="2" t="s">
        <v>872</v>
      </c>
      <c r="G170" s="7">
        <v>90000</v>
      </c>
      <c r="H170" s="2" t="s">
        <v>100</v>
      </c>
      <c r="I170" s="3">
        <f t="shared" si="2"/>
        <v>90000</v>
      </c>
    </row>
    <row r="171" spans="1:9" x14ac:dyDescent="0.3">
      <c r="A171" s="2" t="s">
        <v>873</v>
      </c>
      <c r="B171" s="2" t="s">
        <v>874</v>
      </c>
      <c r="C171" s="2" t="s">
        <v>288</v>
      </c>
      <c r="D171" s="2" t="s">
        <v>875</v>
      </c>
      <c r="E171" s="2" t="s">
        <v>876</v>
      </c>
      <c r="F171" s="2" t="s">
        <v>877</v>
      </c>
      <c r="G171" s="7">
        <v>66000</v>
      </c>
      <c r="H171" s="2" t="s">
        <v>21</v>
      </c>
      <c r="I171" s="3">
        <f t="shared" si="2"/>
        <v>66000</v>
      </c>
    </row>
    <row r="172" spans="1:9" x14ac:dyDescent="0.3">
      <c r="A172" s="2" t="s">
        <v>878</v>
      </c>
      <c r="B172" s="2" t="s">
        <v>879</v>
      </c>
      <c r="C172" s="2" t="s">
        <v>55</v>
      </c>
      <c r="D172" s="2" t="s">
        <v>880</v>
      </c>
      <c r="E172" s="2" t="s">
        <v>881</v>
      </c>
      <c r="F172" s="2" t="s">
        <v>882</v>
      </c>
      <c r="G172" s="7">
        <v>88000</v>
      </c>
      <c r="H172" s="2" t="s">
        <v>65</v>
      </c>
      <c r="I172" s="3">
        <f t="shared" si="2"/>
        <v>88000</v>
      </c>
    </row>
    <row r="173" spans="1:9" x14ac:dyDescent="0.3">
      <c r="A173" s="2" t="s">
        <v>883</v>
      </c>
      <c r="B173" s="2" t="s">
        <v>884</v>
      </c>
      <c r="C173" s="2" t="s">
        <v>10</v>
      </c>
      <c r="D173" s="2" t="s">
        <v>885</v>
      </c>
      <c r="E173" s="2" t="s">
        <v>886</v>
      </c>
      <c r="F173" s="2" t="s">
        <v>887</v>
      </c>
      <c r="G173" s="7">
        <v>107000</v>
      </c>
      <c r="H173" s="2" t="s">
        <v>14</v>
      </c>
      <c r="I173" s="3">
        <f t="shared" si="2"/>
        <v>107000</v>
      </c>
    </row>
    <row r="174" spans="1:9" x14ac:dyDescent="0.3">
      <c r="A174" s="2" t="s">
        <v>888</v>
      </c>
      <c r="B174" s="2" t="s">
        <v>889</v>
      </c>
      <c r="C174" s="2" t="s">
        <v>10</v>
      </c>
      <c r="D174" s="2" t="s">
        <v>890</v>
      </c>
      <c r="E174" s="2" t="s">
        <v>891</v>
      </c>
      <c r="F174" s="2" t="s">
        <v>892</v>
      </c>
      <c r="G174" s="7">
        <v>82000</v>
      </c>
      <c r="H174" s="2" t="s">
        <v>21</v>
      </c>
      <c r="I174" s="3">
        <f t="shared" si="2"/>
        <v>82000</v>
      </c>
    </row>
    <row r="175" spans="1:9" x14ac:dyDescent="0.3">
      <c r="A175" s="2" t="s">
        <v>893</v>
      </c>
      <c r="B175" s="2" t="s">
        <v>894</v>
      </c>
      <c r="C175" s="2" t="s">
        <v>222</v>
      </c>
      <c r="D175" s="2" t="s">
        <v>895</v>
      </c>
      <c r="E175" s="2" t="s">
        <v>896</v>
      </c>
      <c r="F175" s="2" t="s">
        <v>897</v>
      </c>
      <c r="G175" s="7">
        <v>106000</v>
      </c>
      <c r="H175" s="2" t="s">
        <v>35</v>
      </c>
      <c r="I175" s="3">
        <f t="shared" si="2"/>
        <v>106000</v>
      </c>
    </row>
    <row r="176" spans="1:9" x14ac:dyDescent="0.3">
      <c r="A176" s="2" t="s">
        <v>898</v>
      </c>
      <c r="B176" s="2" t="s">
        <v>90</v>
      </c>
      <c r="C176" s="2" t="s">
        <v>103</v>
      </c>
      <c r="D176" s="2" t="s">
        <v>303</v>
      </c>
      <c r="E176" s="2" t="s">
        <v>899</v>
      </c>
      <c r="F176" s="2" t="s">
        <v>900</v>
      </c>
      <c r="G176" s="7">
        <v>90000</v>
      </c>
      <c r="H176" s="2" t="s">
        <v>65</v>
      </c>
      <c r="I176" s="3">
        <f t="shared" si="2"/>
        <v>90000</v>
      </c>
    </row>
    <row r="177" spans="1:9" x14ac:dyDescent="0.3">
      <c r="A177" s="2" t="s">
        <v>901</v>
      </c>
      <c r="B177" s="2" t="s">
        <v>902</v>
      </c>
      <c r="C177" s="2" t="s">
        <v>61</v>
      </c>
      <c r="D177" s="2" t="s">
        <v>903</v>
      </c>
      <c r="E177" s="2" t="s">
        <v>904</v>
      </c>
      <c r="F177" s="2" t="s">
        <v>905</v>
      </c>
      <c r="G177" s="7">
        <v>26000</v>
      </c>
      <c r="H177" s="2" t="s">
        <v>14</v>
      </c>
      <c r="I177" s="3">
        <f t="shared" si="2"/>
        <v>26000</v>
      </c>
    </row>
    <row r="178" spans="1:9" x14ac:dyDescent="0.3">
      <c r="A178" s="2" t="s">
        <v>906</v>
      </c>
      <c r="B178" s="2" t="s">
        <v>907</v>
      </c>
      <c r="C178" s="2" t="s">
        <v>10</v>
      </c>
      <c r="D178" s="2" t="s">
        <v>908</v>
      </c>
      <c r="E178" s="2" t="s">
        <v>909</v>
      </c>
      <c r="F178" s="2" t="s">
        <v>910</v>
      </c>
      <c r="G178" s="7">
        <v>94000</v>
      </c>
      <c r="H178" s="2" t="s">
        <v>35</v>
      </c>
      <c r="I178" s="3">
        <f t="shared" si="2"/>
        <v>94000</v>
      </c>
    </row>
    <row r="179" spans="1:9" x14ac:dyDescent="0.3">
      <c r="A179" s="2" t="s">
        <v>911</v>
      </c>
      <c r="B179" s="2" t="s">
        <v>912</v>
      </c>
      <c r="C179" s="2" t="s">
        <v>362</v>
      </c>
      <c r="D179" s="2" t="s">
        <v>913</v>
      </c>
      <c r="E179" s="2" t="s">
        <v>914</v>
      </c>
      <c r="F179" s="2" t="s">
        <v>915</v>
      </c>
      <c r="G179" s="7">
        <v>34000</v>
      </c>
      <c r="H179" s="2" t="s">
        <v>100</v>
      </c>
      <c r="I179" s="3">
        <f t="shared" si="2"/>
        <v>34000</v>
      </c>
    </row>
    <row r="180" spans="1:9" x14ac:dyDescent="0.3">
      <c r="A180" s="2" t="s">
        <v>916</v>
      </c>
      <c r="B180" s="2" t="s">
        <v>917</v>
      </c>
      <c r="C180" s="2" t="s">
        <v>362</v>
      </c>
      <c r="D180" s="2" t="s">
        <v>918</v>
      </c>
      <c r="E180" s="2" t="s">
        <v>919</v>
      </c>
      <c r="F180" s="2" t="s">
        <v>920</v>
      </c>
      <c r="G180" s="7">
        <v>69000</v>
      </c>
      <c r="H180" s="2" t="s">
        <v>35</v>
      </c>
      <c r="I180" s="3">
        <f t="shared" si="2"/>
        <v>69000</v>
      </c>
    </row>
    <row r="181" spans="1:9" x14ac:dyDescent="0.3">
      <c r="A181" s="2" t="s">
        <v>921</v>
      </c>
      <c r="B181" s="2" t="s">
        <v>922</v>
      </c>
      <c r="C181" s="2" t="s">
        <v>17</v>
      </c>
      <c r="D181" s="2" t="s">
        <v>923</v>
      </c>
      <c r="E181" s="2" t="s">
        <v>924</v>
      </c>
      <c r="F181" s="2" t="s">
        <v>925</v>
      </c>
      <c r="G181" s="7">
        <v>63000</v>
      </c>
      <c r="H181" s="2" t="s">
        <v>65</v>
      </c>
      <c r="I181" s="3">
        <f t="shared" si="2"/>
        <v>63000</v>
      </c>
    </row>
    <row r="182" spans="1:9" x14ac:dyDescent="0.3">
      <c r="A182" s="2" t="s">
        <v>926</v>
      </c>
      <c r="B182" s="2" t="s">
        <v>927</v>
      </c>
      <c r="C182" s="2" t="s">
        <v>85</v>
      </c>
      <c r="D182" s="2" t="s">
        <v>928</v>
      </c>
      <c r="E182" s="2" t="s">
        <v>929</v>
      </c>
      <c r="F182" s="2" t="s">
        <v>930</v>
      </c>
      <c r="G182" s="7">
        <v>39000</v>
      </c>
      <c r="H182" s="2" t="s">
        <v>82</v>
      </c>
      <c r="I182" s="3">
        <f t="shared" si="2"/>
        <v>39000</v>
      </c>
    </row>
    <row r="183" spans="1:9" x14ac:dyDescent="0.3">
      <c r="A183" s="2" t="s">
        <v>931</v>
      </c>
      <c r="B183" s="2" t="s">
        <v>932</v>
      </c>
      <c r="C183" s="2" t="s">
        <v>362</v>
      </c>
      <c r="D183" s="2" t="s">
        <v>762</v>
      </c>
      <c r="E183" s="2" t="s">
        <v>933</v>
      </c>
      <c r="F183" s="2" t="s">
        <v>934</v>
      </c>
      <c r="G183" s="7">
        <v>67000</v>
      </c>
      <c r="H183" s="2" t="s">
        <v>28</v>
      </c>
      <c r="I183" s="3">
        <f t="shared" si="2"/>
        <v>67000</v>
      </c>
    </row>
    <row r="184" spans="1:9" x14ac:dyDescent="0.3">
      <c r="A184" s="2" t="s">
        <v>935</v>
      </c>
      <c r="B184" s="2" t="s">
        <v>936</v>
      </c>
      <c r="C184" s="2" t="s">
        <v>31</v>
      </c>
      <c r="D184" s="2" t="s">
        <v>937</v>
      </c>
      <c r="E184" s="2" t="s">
        <v>938</v>
      </c>
      <c r="F184" s="2" t="s">
        <v>939</v>
      </c>
      <c r="G184" s="7">
        <v>33000</v>
      </c>
      <c r="H184" s="2" t="s">
        <v>82</v>
      </c>
      <c r="I184" s="3">
        <f t="shared" si="2"/>
        <v>33000</v>
      </c>
    </row>
    <row r="185" spans="1:9" x14ac:dyDescent="0.3">
      <c r="A185" s="2" t="s">
        <v>940</v>
      </c>
      <c r="B185" s="2" t="s">
        <v>941</v>
      </c>
      <c r="C185" s="2" t="s">
        <v>120</v>
      </c>
      <c r="D185" s="2" t="s">
        <v>942</v>
      </c>
      <c r="E185" s="2" t="s">
        <v>943</v>
      </c>
      <c r="F185" s="2" t="s">
        <v>944</v>
      </c>
      <c r="G185" s="7">
        <v>67000</v>
      </c>
      <c r="H185" s="2" t="s">
        <v>129</v>
      </c>
      <c r="I185" s="3">
        <f t="shared" si="2"/>
        <v>67000</v>
      </c>
    </row>
    <row r="186" spans="1:9" x14ac:dyDescent="0.3">
      <c r="A186" s="2" t="s">
        <v>945</v>
      </c>
      <c r="B186" s="2" t="s">
        <v>946</v>
      </c>
      <c r="C186" s="2" t="s">
        <v>120</v>
      </c>
      <c r="D186" s="2" t="s">
        <v>947</v>
      </c>
      <c r="E186" s="2" t="s">
        <v>948</v>
      </c>
      <c r="F186" s="2" t="s">
        <v>949</v>
      </c>
      <c r="G186" s="7">
        <v>107000</v>
      </c>
      <c r="H186" s="2" t="s">
        <v>14</v>
      </c>
      <c r="I186" s="3">
        <f t="shared" si="2"/>
        <v>107000</v>
      </c>
    </row>
    <row r="187" spans="1:9" x14ac:dyDescent="0.3">
      <c r="A187" s="2" t="s">
        <v>950</v>
      </c>
      <c r="B187" s="2" t="s">
        <v>16</v>
      </c>
      <c r="C187" s="2" t="s">
        <v>44</v>
      </c>
      <c r="D187" s="2" t="s">
        <v>18</v>
      </c>
      <c r="E187" s="2" t="s">
        <v>951</v>
      </c>
      <c r="F187" s="2" t="s">
        <v>952</v>
      </c>
      <c r="G187" s="7">
        <v>64000</v>
      </c>
      <c r="H187" s="2" t="s">
        <v>21</v>
      </c>
      <c r="I187" s="3">
        <f t="shared" si="2"/>
        <v>64000</v>
      </c>
    </row>
    <row r="188" spans="1:9" x14ac:dyDescent="0.3">
      <c r="A188" s="2" t="s">
        <v>953</v>
      </c>
      <c r="B188" s="2" t="s">
        <v>954</v>
      </c>
      <c r="C188" s="2" t="s">
        <v>132</v>
      </c>
      <c r="D188" s="2" t="s">
        <v>955</v>
      </c>
      <c r="E188" s="2" t="s">
        <v>956</v>
      </c>
      <c r="F188" s="2" t="s">
        <v>957</v>
      </c>
      <c r="G188" s="7">
        <v>84000</v>
      </c>
      <c r="H188" s="2" t="s">
        <v>35</v>
      </c>
      <c r="I188" s="3">
        <f t="shared" si="2"/>
        <v>84000</v>
      </c>
    </row>
    <row r="189" spans="1:9" x14ac:dyDescent="0.3">
      <c r="A189" s="2" t="s">
        <v>958</v>
      </c>
      <c r="B189" s="2" t="s">
        <v>959</v>
      </c>
      <c r="C189" s="2" t="s">
        <v>31</v>
      </c>
      <c r="D189" s="2" t="s">
        <v>960</v>
      </c>
      <c r="E189" s="2" t="s">
        <v>961</v>
      </c>
      <c r="F189" s="2" t="s">
        <v>962</v>
      </c>
      <c r="G189" s="7">
        <v>100000</v>
      </c>
      <c r="H189" s="2" t="s">
        <v>100</v>
      </c>
      <c r="I189" s="3">
        <f t="shared" si="2"/>
        <v>100000</v>
      </c>
    </row>
    <row r="190" spans="1:9" x14ac:dyDescent="0.3">
      <c r="A190" s="2" t="s">
        <v>963</v>
      </c>
      <c r="B190" s="2" t="s">
        <v>964</v>
      </c>
      <c r="C190" s="2" t="s">
        <v>78</v>
      </c>
      <c r="D190" s="2" t="s">
        <v>965</v>
      </c>
      <c r="E190" s="2" t="s">
        <v>966</v>
      </c>
      <c r="F190" s="2" t="s">
        <v>967</v>
      </c>
      <c r="G190" s="7">
        <v>91000</v>
      </c>
      <c r="H190" s="2" t="s">
        <v>65</v>
      </c>
      <c r="I190" s="3">
        <f t="shared" si="2"/>
        <v>91000</v>
      </c>
    </row>
    <row r="191" spans="1:9" x14ac:dyDescent="0.3">
      <c r="A191" s="2" t="s">
        <v>968</v>
      </c>
      <c r="B191" s="2" t="s">
        <v>679</v>
      </c>
      <c r="C191" s="2" t="s">
        <v>103</v>
      </c>
      <c r="D191" s="2" t="s">
        <v>969</v>
      </c>
      <c r="E191" s="2" t="s">
        <v>970</v>
      </c>
      <c r="F191" s="2" t="s">
        <v>971</v>
      </c>
      <c r="G191" s="7">
        <v>68000</v>
      </c>
      <c r="H191" s="2" t="s">
        <v>14</v>
      </c>
      <c r="I191" s="3">
        <f t="shared" si="2"/>
        <v>68000</v>
      </c>
    </row>
    <row r="192" spans="1:9" x14ac:dyDescent="0.3">
      <c r="A192" s="2" t="s">
        <v>972</v>
      </c>
      <c r="B192" s="2" t="s">
        <v>973</v>
      </c>
      <c r="C192" s="2" t="s">
        <v>288</v>
      </c>
      <c r="D192" s="2" t="s">
        <v>974</v>
      </c>
      <c r="E192" s="2" t="s">
        <v>975</v>
      </c>
      <c r="F192" s="2" t="s">
        <v>976</v>
      </c>
      <c r="G192" s="7">
        <v>82000</v>
      </c>
      <c r="H192" s="2" t="s">
        <v>65</v>
      </c>
      <c r="I192" s="3">
        <f t="shared" si="2"/>
        <v>82000</v>
      </c>
    </row>
    <row r="193" spans="1:14" x14ac:dyDescent="0.3">
      <c r="A193" s="2" t="s">
        <v>977</v>
      </c>
      <c r="B193" s="2" t="s">
        <v>978</v>
      </c>
      <c r="C193" s="2" t="s">
        <v>171</v>
      </c>
      <c r="D193" s="2" t="s">
        <v>979</v>
      </c>
      <c r="E193" s="2" t="s">
        <v>980</v>
      </c>
      <c r="F193" s="2" t="s">
        <v>981</v>
      </c>
      <c r="G193" s="7">
        <v>55000</v>
      </c>
      <c r="H193" s="2" t="s">
        <v>82</v>
      </c>
      <c r="I193" s="3">
        <f t="shared" si="2"/>
        <v>55000</v>
      </c>
    </row>
    <row r="194" spans="1:14" x14ac:dyDescent="0.3">
      <c r="A194" s="2" t="s">
        <v>982</v>
      </c>
      <c r="B194" s="2" t="s">
        <v>983</v>
      </c>
      <c r="C194" s="2" t="s">
        <v>318</v>
      </c>
      <c r="D194" s="2" t="s">
        <v>984</v>
      </c>
      <c r="E194" s="2" t="s">
        <v>985</v>
      </c>
      <c r="F194" s="2" t="s">
        <v>986</v>
      </c>
      <c r="G194" s="7">
        <v>62000</v>
      </c>
      <c r="H194" s="2" t="s">
        <v>14</v>
      </c>
      <c r="I194" s="3">
        <f t="shared" si="2"/>
        <v>62000</v>
      </c>
    </row>
    <row r="195" spans="1:14" x14ac:dyDescent="0.3">
      <c r="A195" s="2" t="s">
        <v>987</v>
      </c>
      <c r="B195" s="2" t="s">
        <v>988</v>
      </c>
      <c r="C195" s="2" t="s">
        <v>44</v>
      </c>
      <c r="D195" s="2" t="s">
        <v>989</v>
      </c>
      <c r="E195" s="2" t="s">
        <v>990</v>
      </c>
      <c r="F195" s="2" t="s">
        <v>991</v>
      </c>
      <c r="G195" s="7">
        <v>82000</v>
      </c>
      <c r="H195" s="2" t="s">
        <v>14</v>
      </c>
      <c r="I195" s="3">
        <f t="shared" ref="I195:I201" si="3">ROUND(G195,2)</f>
        <v>82000</v>
      </c>
    </row>
    <row r="196" spans="1:14" x14ac:dyDescent="0.3">
      <c r="A196" s="2" t="s">
        <v>992</v>
      </c>
      <c r="B196" s="2" t="s">
        <v>993</v>
      </c>
      <c r="C196" s="2" t="s">
        <v>288</v>
      </c>
      <c r="D196" s="2" t="s">
        <v>994</v>
      </c>
      <c r="E196" s="2" t="s">
        <v>995</v>
      </c>
      <c r="F196" s="2" t="s">
        <v>996</v>
      </c>
      <c r="G196" s="7">
        <v>110000</v>
      </c>
      <c r="H196" s="2" t="s">
        <v>129</v>
      </c>
      <c r="I196" s="3">
        <f t="shared" si="3"/>
        <v>110000</v>
      </c>
    </row>
    <row r="197" spans="1:14" x14ac:dyDescent="0.3">
      <c r="A197" s="2" t="s">
        <v>997</v>
      </c>
      <c r="B197" s="2" t="s">
        <v>998</v>
      </c>
      <c r="C197" s="2" t="s">
        <v>55</v>
      </c>
      <c r="D197" s="2" t="s">
        <v>999</v>
      </c>
      <c r="E197" s="2" t="s">
        <v>1000</v>
      </c>
      <c r="F197" s="2" t="s">
        <v>1001</v>
      </c>
      <c r="G197" s="7">
        <v>84000</v>
      </c>
      <c r="H197" s="2" t="s">
        <v>21</v>
      </c>
      <c r="I197" s="3">
        <f t="shared" si="3"/>
        <v>84000</v>
      </c>
    </row>
    <row r="198" spans="1:14" x14ac:dyDescent="0.3">
      <c r="A198" s="2" t="s">
        <v>1002</v>
      </c>
      <c r="B198" s="2" t="s">
        <v>1003</v>
      </c>
      <c r="C198" s="2" t="s">
        <v>96</v>
      </c>
      <c r="D198" s="2" t="s">
        <v>1004</v>
      </c>
      <c r="E198" s="2" t="s">
        <v>1005</v>
      </c>
      <c r="F198" s="2" t="s">
        <v>1006</v>
      </c>
      <c r="G198" s="7">
        <v>59000</v>
      </c>
      <c r="H198" s="2" t="s">
        <v>35</v>
      </c>
      <c r="I198" s="3">
        <f t="shared" si="3"/>
        <v>59000</v>
      </c>
    </row>
    <row r="199" spans="1:14" x14ac:dyDescent="0.3">
      <c r="A199" s="2" t="s">
        <v>1007</v>
      </c>
      <c r="B199" s="2" t="s">
        <v>606</v>
      </c>
      <c r="C199" s="2" t="s">
        <v>31</v>
      </c>
      <c r="D199" s="2" t="s">
        <v>670</v>
      </c>
      <c r="E199" s="2" t="s">
        <v>1008</v>
      </c>
      <c r="F199" s="2" t="s">
        <v>1009</v>
      </c>
      <c r="G199" s="7">
        <v>111000</v>
      </c>
      <c r="H199" s="2" t="s">
        <v>35</v>
      </c>
      <c r="I199" s="3">
        <f t="shared" si="3"/>
        <v>111000</v>
      </c>
    </row>
    <row r="200" spans="1:14" x14ac:dyDescent="0.3">
      <c r="A200" s="2" t="s">
        <v>1010</v>
      </c>
      <c r="B200" s="2" t="s">
        <v>1011</v>
      </c>
      <c r="C200" s="2" t="s">
        <v>171</v>
      </c>
      <c r="D200" s="2" t="s">
        <v>1012</v>
      </c>
      <c r="E200" s="2" t="s">
        <v>1013</v>
      </c>
      <c r="F200" s="2" t="s">
        <v>1014</v>
      </c>
      <c r="G200" s="7">
        <v>107000</v>
      </c>
      <c r="H200" s="2" t="s">
        <v>35</v>
      </c>
      <c r="I200" s="3">
        <f t="shared" si="3"/>
        <v>107000</v>
      </c>
    </row>
    <row r="201" spans="1:14" x14ac:dyDescent="0.3">
      <c r="A201" s="2" t="s">
        <v>1015</v>
      </c>
      <c r="B201" s="2" t="s">
        <v>1016</v>
      </c>
      <c r="C201" s="2" t="s">
        <v>120</v>
      </c>
      <c r="D201" s="2" t="s">
        <v>1017</v>
      </c>
      <c r="E201" s="2" t="s">
        <v>1018</v>
      </c>
      <c r="F201" s="2" t="s">
        <v>1019</v>
      </c>
      <c r="G201" s="7">
        <v>30000</v>
      </c>
      <c r="H201" s="2" t="s">
        <v>100</v>
      </c>
      <c r="I201" s="3">
        <f t="shared" si="3"/>
        <v>30000</v>
      </c>
    </row>
    <row r="205" spans="1:14" x14ac:dyDescent="0.3">
      <c r="F205" s="5" t="s">
        <v>1021</v>
      </c>
      <c r="G205" s="9">
        <f>SUM(G2:G201)</f>
        <v>13866001.017140001</v>
      </c>
      <c r="J205">
        <f>SUMIF(C2:C201,"IT",G2:G201)</f>
        <v>2016000</v>
      </c>
      <c r="N205">
        <f>SUMIF(C2:C201,"SALES",G2:G201)</f>
        <v>1766000</v>
      </c>
    </row>
    <row r="207" spans="1:14" x14ac:dyDescent="0.3">
      <c r="F207" s="5" t="s">
        <v>1022</v>
      </c>
      <c r="G207" s="9">
        <f>AVERAGE(G2:G201)</f>
        <v>69330.005085700002</v>
      </c>
    </row>
    <row r="208" spans="1:14" x14ac:dyDescent="0.3">
      <c r="L208" s="3">
        <f>ROUND(G2/12,2)</f>
        <v>2333.38</v>
      </c>
    </row>
    <row r="209" spans="6:10" x14ac:dyDescent="0.3">
      <c r="F209" s="5" t="s">
        <v>1020</v>
      </c>
      <c r="G209" s="9">
        <f>MAX(G2:G201)</f>
        <v>119000</v>
      </c>
    </row>
    <row r="211" spans="6:10" x14ac:dyDescent="0.3">
      <c r="F211" s="5" t="s">
        <v>1023</v>
      </c>
      <c r="G211" s="9">
        <f>MIN(G2:G201)</f>
        <v>25000</v>
      </c>
      <c r="J211">
        <f>SUMIFS(G:G,C:C,"IT",H:H,"Mumbai")</f>
        <v>114000</v>
      </c>
    </row>
    <row r="213" spans="6:10" x14ac:dyDescent="0.3">
      <c r="F213" s="5" t="s">
        <v>1024</v>
      </c>
      <c r="G213" s="9">
        <f>COUNT(G2:G201)</f>
        <v>200</v>
      </c>
    </row>
    <row r="215" spans="6:10" x14ac:dyDescent="0.3">
      <c r="G215" s="9">
        <f>COUNTA(B2:B201)</f>
        <v>200</v>
      </c>
    </row>
    <row r="217" spans="6:10" x14ac:dyDescent="0.3">
      <c r="G217" s="9">
        <f>B219</f>
        <v>0</v>
      </c>
    </row>
  </sheetData>
  <autoFilter ref="A1:H201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intel</cp:lastModifiedBy>
  <dcterms:created xsi:type="dcterms:W3CDTF">2026-07-06T04:39:20Z</dcterms:created>
  <dcterms:modified xsi:type="dcterms:W3CDTF">2026-07-10T05:22:47Z</dcterms:modified>
</cp:coreProperties>
</file>